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npatira/Desktop/rfq-outlook-addin-365/"/>
    </mc:Choice>
  </mc:AlternateContent>
  <xr:revisionPtr revIDLastSave="0" documentId="13_ncr:1_{60FB9511-D288-D842-9CB9-8126A28D3F6C}" xr6:coauthVersionLast="47" xr6:coauthVersionMax="47" xr10:uidLastSave="{00000000-0000-0000-0000-000000000000}"/>
  <bookViews>
    <workbookView xWindow="34400" yWindow="600" windowWidth="34400" windowHeight="28200" activeTab="1" xr2:uid="{E09E9330-501D-7045-A31B-64491439B418}"/>
  </bookViews>
  <sheets>
    <sheet name="Sensor Specification" sheetId="1" r:id="rId1"/>
    <sheet name="Fiber Specification" sheetId="2" r:id="rId2"/>
  </sheets>
  <externalReferences>
    <externalReference r:id="rId3"/>
  </externalReferences>
  <definedNames>
    <definedName name="SensorDrawing">INDIRECT("Drawings!B"&amp;[1]Drawings!$B$1)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2" l="1"/>
  <c r="C55" i="2"/>
  <c r="E55" i="2" s="1"/>
  <c r="B55" i="2"/>
  <c r="A55" i="2"/>
  <c r="D54" i="2"/>
  <c r="C54" i="2"/>
  <c r="E54" i="2" s="1"/>
  <c r="B54" i="2"/>
  <c r="A54" i="2"/>
  <c r="D53" i="2"/>
  <c r="C53" i="2"/>
  <c r="E53" i="2" s="1"/>
  <c r="B53" i="2"/>
  <c r="A53" i="2"/>
  <c r="D52" i="2"/>
  <c r="C52" i="2"/>
  <c r="E52" i="2" s="1"/>
  <c r="B52" i="2"/>
  <c r="A52" i="2"/>
  <c r="D51" i="2"/>
  <c r="C51" i="2"/>
  <c r="E51" i="2" s="1"/>
  <c r="B51" i="2"/>
  <c r="A51" i="2"/>
  <c r="D50" i="2"/>
  <c r="C50" i="2"/>
  <c r="E50" i="2" s="1"/>
  <c r="B50" i="2"/>
  <c r="A50" i="2"/>
  <c r="D49" i="2"/>
  <c r="C49" i="2"/>
  <c r="E49" i="2" s="1"/>
  <c r="B49" i="2"/>
  <c r="A49" i="2"/>
  <c r="D48" i="2"/>
  <c r="C48" i="2"/>
  <c r="E48" i="2" s="1"/>
  <c r="B48" i="2"/>
  <c r="A48" i="2"/>
  <c r="D47" i="2"/>
  <c r="C47" i="2"/>
  <c r="E47" i="2" s="1"/>
  <c r="B47" i="2"/>
  <c r="A47" i="2"/>
  <c r="E46" i="2"/>
  <c r="D46" i="2"/>
  <c r="C46" i="2"/>
  <c r="B46" i="2"/>
  <c r="A46" i="2"/>
  <c r="D45" i="2"/>
  <c r="C45" i="2"/>
  <c r="E45" i="2" s="1"/>
  <c r="B45" i="2"/>
  <c r="A45" i="2"/>
  <c r="D44" i="2"/>
  <c r="C44" i="2"/>
  <c r="E44" i="2" s="1"/>
  <c r="B44" i="2"/>
  <c r="A44" i="2"/>
  <c r="D43" i="2"/>
  <c r="C43" i="2"/>
  <c r="E43" i="2" s="1"/>
  <c r="B43" i="2"/>
  <c r="A43" i="2"/>
  <c r="D42" i="2"/>
  <c r="C42" i="2"/>
  <c r="E42" i="2" s="1"/>
  <c r="B42" i="2"/>
  <c r="A42" i="2"/>
  <c r="D41" i="2"/>
  <c r="C41" i="2"/>
  <c r="E41" i="2" s="1"/>
  <c r="B41" i="2"/>
  <c r="A41" i="2"/>
  <c r="D40" i="2"/>
  <c r="C40" i="2"/>
  <c r="E40" i="2" s="1"/>
  <c r="B40" i="2"/>
  <c r="A40" i="2"/>
  <c r="D39" i="2"/>
  <c r="C39" i="2"/>
  <c r="E39" i="2" s="1"/>
  <c r="B39" i="2"/>
  <c r="A39" i="2"/>
  <c r="D38" i="2"/>
  <c r="C38" i="2"/>
  <c r="E38" i="2" s="1"/>
  <c r="B38" i="2"/>
  <c r="A38" i="2"/>
  <c r="D37" i="2"/>
  <c r="C37" i="2"/>
  <c r="E37" i="2" s="1"/>
  <c r="B37" i="2"/>
  <c r="A37" i="2"/>
  <c r="D36" i="2"/>
  <c r="C36" i="2"/>
  <c r="E36" i="2" s="1"/>
  <c r="B36" i="2"/>
  <c r="A36" i="2"/>
  <c r="D35" i="2"/>
  <c r="C35" i="2"/>
  <c r="E35" i="2" s="1"/>
  <c r="B35" i="2"/>
  <c r="A35" i="2"/>
  <c r="D34" i="2"/>
  <c r="C34" i="2"/>
  <c r="E34" i="2" s="1"/>
  <c r="B34" i="2"/>
  <c r="A34" i="2"/>
  <c r="D33" i="2"/>
  <c r="C33" i="2"/>
  <c r="E33" i="2" s="1"/>
  <c r="B33" i="2"/>
  <c r="A33" i="2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H17" i="1"/>
  <c r="G17" i="1"/>
  <c r="F17" i="1"/>
  <c r="E17" i="1"/>
  <c r="D17" i="1"/>
  <c r="F16" i="1"/>
  <c r="D16" i="1"/>
  <c r="C16" i="1"/>
  <c r="D62" i="1" l="1"/>
  <c r="E62" i="1"/>
  <c r="E61" i="1"/>
  <c r="D61" i="1"/>
  <c r="E60" i="1"/>
  <c r="D60" i="1"/>
  <c r="E59" i="1"/>
  <c r="D59" i="1"/>
  <c r="D58" i="1"/>
  <c r="E58" i="1"/>
  <c r="E57" i="1"/>
  <c r="D57" i="1"/>
  <c r="D56" i="1"/>
  <c r="E56" i="1"/>
  <c r="D55" i="1"/>
  <c r="E55" i="1"/>
  <c r="D54" i="1"/>
  <c r="E54" i="1"/>
  <c r="D53" i="1"/>
  <c r="E53" i="1"/>
  <c r="D52" i="1"/>
  <c r="E52" i="1"/>
  <c r="E51" i="1"/>
  <c r="D51" i="1"/>
  <c r="D50" i="1"/>
  <c r="E50" i="1"/>
  <c r="D49" i="1"/>
  <c r="E49" i="1"/>
  <c r="E48" i="1"/>
  <c r="D48" i="1"/>
  <c r="D47" i="1"/>
  <c r="E47" i="1"/>
  <c r="D46" i="1"/>
  <c r="E46" i="1"/>
  <c r="E45" i="1"/>
  <c r="D45" i="1"/>
  <c r="D44" i="1"/>
  <c r="E44" i="1"/>
  <c r="E43" i="1"/>
  <c r="D43" i="1"/>
  <c r="D42" i="1"/>
  <c r="E42" i="1"/>
  <c r="D41" i="1"/>
  <c r="E41" i="1"/>
  <c r="E40" i="1"/>
  <c r="D40" i="1"/>
</calcChain>
</file>

<file path=xl/sharedStrings.xml><?xml version="1.0" encoding="utf-8"?>
<sst xmlns="http://schemas.openxmlformats.org/spreadsheetml/2006/main" count="144" uniqueCount="77">
  <si>
    <t xml:space="preserve">engionic Fiber Optics GmbH - Ernst-Lau-Straße 8 - 12489 Berlin   </t>
  </si>
  <si>
    <t>V1.14</t>
  </si>
  <si>
    <t>Production Sheet Number:</t>
  </si>
  <si>
    <t>Postition:</t>
  </si>
  <si>
    <t>of:</t>
  </si>
  <si>
    <t>Offer Number:</t>
  </si>
  <si>
    <t>Customer:</t>
  </si>
  <si>
    <t>Quantity:</t>
  </si>
  <si>
    <t>Contact:</t>
  </si>
  <si>
    <t>Remarks FBGs:</t>
  </si>
  <si>
    <t>Kein Faserwechsel ohne Absprache; Toleranz erstes bis letztes FBG max 5mm</t>
  </si>
  <si>
    <t>Remarks Sensor:</t>
  </si>
  <si>
    <t>Sensor Configuration</t>
  </si>
  <si>
    <t>Connector Type</t>
  </si>
  <si>
    <t/>
  </si>
  <si>
    <t>Temperature Sensing Configuration</t>
  </si>
  <si>
    <t>Working Temperature (°C)</t>
  </si>
  <si>
    <t>Annealing</t>
  </si>
  <si>
    <t>Calibration</t>
  </si>
  <si>
    <t>min</t>
  </si>
  <si>
    <t>max</t>
  </si>
  <si>
    <t>from</t>
  </si>
  <si>
    <t>to</t>
  </si>
  <si>
    <t>FBG Specification</t>
  </si>
  <si>
    <t>Wavelength (nm)</t>
  </si>
  <si>
    <t>Reflectivity (%)</t>
  </si>
  <si>
    <t>FWHM  (nm)</t>
  </si>
  <si>
    <t>min SLSR (dB)</t>
  </si>
  <si>
    <t>FBG Length (mm)</t>
  </si>
  <si>
    <t>FemtoPlus</t>
  </si>
  <si>
    <t>Nominal Value</t>
  </si>
  <si>
    <t>-</t>
  </si>
  <si>
    <t>Plus Tolerance</t>
  </si>
  <si>
    <t>Minus Tolerance</t>
  </si>
  <si>
    <t>Additional Specifications</t>
  </si>
  <si>
    <t>Label</t>
  </si>
  <si>
    <t>Total Fiber Length (mm)</t>
  </si>
  <si>
    <r>
      <t>Tolerance FBG Spacing (%)</t>
    </r>
    <r>
      <rPr>
        <b/>
        <vertAlign val="superscript"/>
        <sz val="12"/>
        <color theme="1"/>
        <rFont val="Aptos Narrow"/>
        <family val="2"/>
        <scheme val="minor"/>
      </rPr>
      <t>2</t>
    </r>
  </si>
  <si>
    <t>Wavelength Table</t>
  </si>
  <si>
    <t>FBG Name</t>
  </si>
  <si>
    <t>FBG Position (mm)</t>
  </si>
  <si>
    <t>FBG Lead Out (mm)</t>
  </si>
  <si>
    <t>FBG Spacing (mm)</t>
  </si>
  <si>
    <t>Auto Fill Wavelength Table</t>
  </si>
  <si>
    <t>Number of FBGs</t>
  </si>
  <si>
    <t>Position First FBG (mm)</t>
  </si>
  <si>
    <t>FBG Wavelength (nm)</t>
  </si>
  <si>
    <t>Equal Wavelength Spacing</t>
  </si>
  <si>
    <t>Wavelength Spacing (nm)</t>
  </si>
  <si>
    <t>Wavelength first FBG</t>
  </si>
  <si>
    <t>Equal FBG Spacing</t>
  </si>
  <si>
    <t>Spacing (mm)</t>
  </si>
  <si>
    <t>1) continous fiber with multible FBGs/arrays, to be cut by customer</t>
  </si>
  <si>
    <t>2) min. Tolerance Spacing: 1 mm</t>
  </si>
  <si>
    <t>Date:</t>
  </si>
  <si>
    <t>Customers Signature:</t>
  </si>
  <si>
    <t>Additional Quantity</t>
  </si>
  <si>
    <t>Additional Lead In (mm)</t>
  </si>
  <si>
    <t>Additional Lead Out (mm)</t>
  </si>
  <si>
    <t xml:space="preserve">engionic Femto Gratings GmbH - Am Stollen 19B - 38640 Goslar   </t>
  </si>
  <si>
    <t>Customer Product ID:</t>
  </si>
  <si>
    <t>Approved By:</t>
  </si>
  <si>
    <t>Remarks:</t>
  </si>
  <si>
    <t>Fiber Specification</t>
  </si>
  <si>
    <t>Fiber Type</t>
  </si>
  <si>
    <t>Fiber Core Type</t>
  </si>
  <si>
    <t>ITU-T</t>
  </si>
  <si>
    <t>Fiber Cladding Diameter (µm)</t>
  </si>
  <si>
    <t>Fiber Coating Material</t>
  </si>
  <si>
    <t>Fiber Manufacturer</t>
  </si>
  <si>
    <t>Fiber Provided By</t>
  </si>
  <si>
    <t>Apodized</t>
  </si>
  <si>
    <t>Fiber Design</t>
  </si>
  <si>
    <t>Spectrum Datasheet</t>
  </si>
  <si>
    <r>
      <t>Simplified Packaging</t>
    </r>
    <r>
      <rPr>
        <b/>
        <vertAlign val="superscript"/>
        <sz val="12"/>
        <color theme="1"/>
        <rFont val="Aptos Narrow"/>
        <family val="2"/>
        <scheme val="minor"/>
      </rPr>
      <t>1</t>
    </r>
  </si>
  <si>
    <t>FBG Marking</t>
  </si>
  <si>
    <t>Fiber Input Marking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</si>
</sst>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8"/>
      <color theme="1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14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Calibri"/>
      <family val="2"/>
    </font>
    <font>
      <b/>
      <vertAlign val="superscript"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rgb="FFF2F2F2"/>
      <name val="Calibri"/>
      <family val="2"/>
    </font>
    <font>
      <sz val="11"/>
      <color rgb="FFF2F2F2"/>
      <name val="Calibri"/>
      <family val="2"/>
    </font>
    <font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 applyAlignment="1">
      <alignment horizontal="right"/>
    </xf>
    <xf numFmtId="0" fontId="6" fillId="2" borderId="2" xfId="0" applyFont="1" applyFill="1" applyBorder="1" applyAlignment="1">
      <alignment horizontal="right" vertical="center"/>
    </xf>
    <xf numFmtId="1" fontId="8" fillId="0" borderId="2" xfId="0" applyNumberFormat="1" applyFont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right" vertical="center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2" fontId="9" fillId="2" borderId="2" xfId="0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righ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0" fillId="2" borderId="2" xfId="0" applyFont="1" applyFill="1" applyBorder="1" applyAlignment="1">
      <alignment horizontal="right" vertical="center"/>
    </xf>
    <xf numFmtId="1" fontId="11" fillId="0" borderId="2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1" fontId="12" fillId="2" borderId="2" xfId="0" applyNumberFormat="1" applyFont="1" applyFill="1" applyBorder="1" applyAlignment="1">
      <alignment horizontal="right" vertical="top"/>
    </xf>
    <xf numFmtId="49" fontId="13" fillId="0" borderId="2" xfId="0" applyNumberFormat="1" applyFont="1" applyBorder="1" applyAlignment="1" applyProtection="1">
      <alignment horizontal="left" vertical="center" wrapText="1"/>
      <protection locked="0"/>
    </xf>
    <xf numFmtId="1" fontId="12" fillId="0" borderId="0" xfId="0" applyNumberFormat="1" applyFont="1" applyAlignment="1">
      <alignment horizontal="right" vertical="top"/>
    </xf>
    <xf numFmtId="49" fontId="13" fillId="0" borderId="0" xfId="0" applyNumberFormat="1" applyFont="1" applyAlignment="1">
      <alignment horizontal="left" vertical="center" wrapText="1"/>
    </xf>
    <xf numFmtId="49" fontId="13" fillId="0" borderId="2" xfId="0" applyNumberFormat="1" applyFont="1" applyBorder="1" applyAlignment="1" applyProtection="1">
      <alignment horizontal="center" vertical="center" wrapText="1"/>
      <protection locked="0"/>
    </xf>
    <xf numFmtId="1" fontId="15" fillId="3" borderId="2" xfId="0" applyNumberFormat="1" applyFont="1" applyFill="1" applyBorder="1" applyAlignment="1">
      <alignment horizontal="left" vertical="top"/>
    </xf>
    <xf numFmtId="1" fontId="13" fillId="0" borderId="0" xfId="0" applyNumberFormat="1" applyFont="1" applyAlignment="1">
      <alignment horizontal="center" vertical="top"/>
    </xf>
    <xf numFmtId="0" fontId="16" fillId="4" borderId="4" xfId="0" applyFont="1" applyFill="1" applyBorder="1" applyAlignment="1">
      <alignment horizontal="center" vertical="center"/>
    </xf>
    <xf numFmtId="1" fontId="12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/>
    </xf>
    <xf numFmtId="1" fontId="12" fillId="4" borderId="3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7" fillId="0" borderId="2" xfId="0" applyFont="1" applyBorder="1" applyAlignment="1" applyProtection="1">
      <alignment horizontal="center"/>
      <protection locked="0"/>
    </xf>
    <xf numFmtId="1" fontId="13" fillId="0" borderId="2" xfId="0" applyNumberFormat="1" applyFont="1" applyBorder="1" applyAlignment="1" applyProtection="1">
      <alignment horizontal="center" vertical="top"/>
      <protection locked="0"/>
    </xf>
    <xf numFmtId="49" fontId="13" fillId="0" borderId="2" xfId="0" applyNumberFormat="1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quotePrefix="1" applyFont="1" applyAlignment="1">
      <alignment horizontal="center" vertical="center" wrapText="1"/>
    </xf>
    <xf numFmtId="0" fontId="6" fillId="6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1" fontId="11" fillId="0" borderId="2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 applyProtection="1">
      <alignment horizontal="center"/>
      <protection locked="0"/>
    </xf>
    <xf numFmtId="2" fontId="11" fillId="0" borderId="0" xfId="0" applyNumberFormat="1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vertical="center"/>
    </xf>
    <xf numFmtId="2" fontId="6" fillId="6" borderId="2" xfId="0" applyNumberFormat="1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 applyProtection="1">
      <alignment horizontal="center"/>
      <protection locked="0"/>
    </xf>
    <xf numFmtId="2" fontId="11" fillId="0" borderId="2" xfId="0" applyNumberFormat="1" applyFont="1" applyBorder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10" fillId="7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1" fontId="11" fillId="8" borderId="2" xfId="0" applyNumberFormat="1" applyFont="1" applyFill="1" applyBorder="1" applyAlignment="1" applyProtection="1">
      <alignment horizontal="center" vertical="center"/>
      <protection locked="0"/>
    </xf>
    <xf numFmtId="0" fontId="10" fillId="2" borderId="2" xfId="0" quotePrefix="1" applyFont="1" applyFill="1" applyBorder="1" applyAlignment="1">
      <alignment horizontal="center" vertical="center"/>
    </xf>
    <xf numFmtId="2" fontId="10" fillId="2" borderId="5" xfId="0" applyNumberFormat="1" applyFont="1" applyFill="1" applyBorder="1" applyAlignment="1">
      <alignment horizontal="center" vertical="center"/>
    </xf>
    <xf numFmtId="2" fontId="10" fillId="2" borderId="7" xfId="0" applyNumberFormat="1" applyFont="1" applyFill="1" applyBorder="1" applyAlignment="1">
      <alignment horizontal="center" vertical="center"/>
    </xf>
    <xf numFmtId="2" fontId="11" fillId="2" borderId="5" xfId="0" applyNumberFormat="1" applyFont="1" applyFill="1" applyBorder="1" applyAlignment="1">
      <alignment horizontal="center" vertical="center"/>
    </xf>
    <xf numFmtId="2" fontId="11" fillId="2" borderId="7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2" fontId="11" fillId="0" borderId="2" xfId="0" applyNumberFormat="1" applyFont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 applyProtection="1">
      <alignment horizontal="left" vertical="top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1" fontId="11" fillId="0" borderId="5" xfId="0" applyNumberFormat="1" applyFont="1" applyBorder="1" applyAlignment="1" applyProtection="1">
      <alignment horizontal="left" vertical="top"/>
      <protection locked="0"/>
    </xf>
    <xf numFmtId="1" fontId="11" fillId="0" borderId="6" xfId="0" applyNumberFormat="1" applyFont="1" applyBorder="1" applyAlignment="1" applyProtection="1">
      <alignment horizontal="left" vertical="top"/>
      <protection locked="0"/>
    </xf>
    <xf numFmtId="1" fontId="11" fillId="0" borderId="7" xfId="0" applyNumberFormat="1" applyFont="1" applyBorder="1" applyAlignment="1" applyProtection="1">
      <alignment horizontal="left" vertical="top"/>
      <protection locked="0"/>
    </xf>
    <xf numFmtId="0" fontId="11" fillId="0" borderId="2" xfId="0" applyFont="1" applyBorder="1"/>
    <xf numFmtId="0" fontId="11" fillId="0" borderId="2" xfId="0" applyFont="1" applyBorder="1" applyProtection="1">
      <protection locked="0"/>
    </xf>
    <xf numFmtId="0" fontId="17" fillId="0" borderId="2" xfId="0" applyFont="1" applyBorder="1"/>
    <xf numFmtId="0" fontId="17" fillId="0" borderId="2" xfId="0" applyFont="1" applyBorder="1" applyProtection="1">
      <protection locked="0"/>
    </xf>
    <xf numFmtId="0" fontId="17" fillId="0" borderId="0" xfId="0" applyFont="1"/>
    <xf numFmtId="1" fontId="11" fillId="0" borderId="2" xfId="0" applyNumberFormat="1" applyFont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right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2" borderId="7" xfId="0" applyFont="1" applyFill="1" applyBorder="1" applyAlignment="1">
      <alignment horizontal="right" vertical="center" wrapText="1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>
      <alignment horizontal="right" vertical="center" wrapText="1"/>
    </xf>
    <xf numFmtId="0" fontId="13" fillId="0" borderId="2" xfId="0" applyFont="1" applyBorder="1" applyAlignment="1" applyProtection="1">
      <alignment horizontal="left" vertical="center" wrapText="1"/>
      <protection locked="0"/>
    </xf>
    <xf numFmtId="0" fontId="6" fillId="6" borderId="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1" fontId="5" fillId="0" borderId="0" xfId="0" applyNumberFormat="1" applyFont="1"/>
    <xf numFmtId="0" fontId="0" fillId="0" borderId="2" xfId="0" applyBorder="1" applyAlignment="1">
      <alignment horizontal="center"/>
    </xf>
    <xf numFmtId="0" fontId="0" fillId="9" borderId="2" xfId="0" applyFill="1" applyBorder="1" applyAlignment="1" applyProtection="1">
      <alignment horizontal="center"/>
      <protection locked="0"/>
    </xf>
    <xf numFmtId="1" fontId="1" fillId="9" borderId="2" xfId="0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left" vertical="center"/>
    </xf>
    <xf numFmtId="0" fontId="6" fillId="0" borderId="0" xfId="0" applyFont="1"/>
    <xf numFmtId="0" fontId="19" fillId="0" borderId="0" xfId="0" applyFont="1" applyAlignment="1">
      <alignment horizontal="left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0" xfId="0" quotePrefix="1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[1]Definitions!W2" lockText="1" noThreeD="1"/>
</file>

<file path=xl/ctrlProps/ctrlProp2.xml><?xml version="1.0" encoding="utf-8"?>
<formControlPr xmlns="http://schemas.microsoft.com/office/spreadsheetml/2009/9/main" objectType="CheckBox" checked="Checked" fmlaLink="[1]Definitions!Y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45</xdr:row>
          <xdr:rowOff>0</xdr:rowOff>
        </xdr:from>
        <xdr:to>
          <xdr:col>6</xdr:col>
          <xdr:colOff>241300</xdr:colOff>
          <xdr:row>46</xdr:row>
          <xdr:rowOff>25400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60595FE-C24B-4A46-BE92-F885066900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52</xdr:row>
          <xdr:rowOff>0</xdr:rowOff>
        </xdr:from>
        <xdr:to>
          <xdr:col>6</xdr:col>
          <xdr:colOff>266700</xdr:colOff>
          <xdr:row>53</xdr:row>
          <xdr:rowOff>25400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11B506F-0DFC-2C45-9CF2-113CD6373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25400</xdr:rowOff>
    </xdr:to>
    <xdr:pic>
      <xdr:nvPicPr>
        <xdr:cNvPr id="6" name="Grafik 7">
          <a:extLst>
            <a:ext uri="{FF2B5EF4-FFF2-40B4-BE49-F238E27FC236}">
              <a16:creationId xmlns:a16="http://schemas.microsoft.com/office/drawing/2014/main" id="{1BCC7B18-D2A0-9645-B05C-3EB654867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599" y="104775"/>
          <a:ext cx="1155701" cy="898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0</xdr:row>
      <xdr:rowOff>1104900</xdr:rowOff>
    </xdr:to>
    <xdr:pic>
      <xdr:nvPicPr>
        <xdr:cNvPr id="2" name="Grafik 15">
          <a:extLst>
            <a:ext uri="{FF2B5EF4-FFF2-40B4-BE49-F238E27FC236}">
              <a16:creationId xmlns:a16="http://schemas.microsoft.com/office/drawing/2014/main" id="{10035AF0-D1BB-F749-81ED-B5E61DA73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599" y="104775"/>
          <a:ext cx="1155701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npatira/Desktop/rfq-outlook-addin-365/41260018%20.xlsx" TargetMode="External"/><Relationship Id="rId1" Type="http://schemas.openxmlformats.org/officeDocument/2006/relationships/externalLinkPath" Target="41260018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ber Specification"/>
      <sheetName val="Sensor Specification"/>
      <sheetName val="Definitions"/>
      <sheetName val="Drawings"/>
    </sheetNames>
    <sheetDataSet>
      <sheetData sheetId="0"/>
      <sheetData sheetId="1"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</row>
        <row r="71">
          <cell r="B71">
            <v>50</v>
          </cell>
        </row>
        <row r="72">
          <cell r="B72">
            <v>50</v>
          </cell>
        </row>
      </sheetData>
      <sheetData sheetId="2">
        <row r="2">
          <cell r="W2" t="b">
            <v>1</v>
          </cell>
          <cell r="Y2" t="b">
            <v>1</v>
          </cell>
        </row>
      </sheetData>
      <sheetData sheetId="3">
        <row r="1">
          <cell r="B1">
            <v>5</v>
          </cell>
        </row>
        <row r="3">
          <cell r="A3" t="str">
            <v>Capillary without Tube</v>
          </cell>
        </row>
        <row r="4">
          <cell r="A4" t="str">
            <v>Capillary with Tube</v>
          </cell>
        </row>
        <row r="5">
          <cell r="A5" t="str">
            <v>Fiber Only</v>
          </cell>
        </row>
        <row r="6">
          <cell r="A6" t="str">
            <v>Fiber with Tube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4186-5734-6E48-B1E8-3931871A68D9}">
  <dimension ref="A1:H72"/>
  <sheetViews>
    <sheetView topLeftCell="A19" workbookViewId="0">
      <selection activeCell="O15" sqref="O15"/>
    </sheetView>
  </sheetViews>
  <sheetFormatPr baseColWidth="10" defaultRowHeight="16" x14ac:dyDescent="0.2"/>
  <cols>
    <col min="1" max="1" width="24.33203125" customWidth="1"/>
    <col min="2" max="8" width="17.1640625" customWidth="1"/>
  </cols>
  <sheetData>
    <row r="1" spans="1:8" ht="84" customHeight="1" x14ac:dyDescent="0.2">
      <c r="A1" s="1"/>
      <c r="B1" s="1"/>
      <c r="C1" s="1"/>
      <c r="D1" s="1"/>
      <c r="E1" s="1"/>
      <c r="F1" s="1"/>
      <c r="G1" s="1"/>
      <c r="H1" s="1"/>
    </row>
    <row r="2" spans="1:8" ht="20" thickBot="1" x14ac:dyDescent="0.3">
      <c r="A2" s="2" t="s">
        <v>0</v>
      </c>
      <c r="B2" s="2"/>
      <c r="C2" s="2"/>
      <c r="D2" s="2"/>
      <c r="E2" s="2"/>
      <c r="F2" s="3"/>
      <c r="G2" s="3"/>
      <c r="H2" s="4" t="s">
        <v>1</v>
      </c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ht="19" x14ac:dyDescent="0.2">
      <c r="A4" s="5" t="s">
        <v>2</v>
      </c>
      <c r="B4" s="5"/>
      <c r="C4" s="6"/>
      <c r="D4" s="6"/>
      <c r="E4" s="7" t="s">
        <v>3</v>
      </c>
      <c r="F4" s="8">
        <v>1</v>
      </c>
      <c r="G4" s="9" t="s">
        <v>4</v>
      </c>
      <c r="H4" s="8">
        <v>1</v>
      </c>
    </row>
    <row r="5" spans="1:8" ht="19" x14ac:dyDescent="0.2">
      <c r="A5" s="5" t="s">
        <v>5</v>
      </c>
      <c r="B5" s="5"/>
      <c r="C5" s="6"/>
      <c r="D5" s="6"/>
      <c r="E5" s="7" t="s">
        <v>6</v>
      </c>
      <c r="F5" s="10"/>
      <c r="G5" s="10"/>
      <c r="H5" s="10"/>
    </row>
    <row r="6" spans="1:8" ht="19" x14ac:dyDescent="0.25">
      <c r="A6" s="11"/>
      <c r="B6" s="11"/>
      <c r="C6" s="12"/>
      <c r="D6" s="12"/>
      <c r="E6" s="7" t="s">
        <v>7</v>
      </c>
      <c r="F6" s="13"/>
      <c r="G6" s="14"/>
      <c r="H6" s="14"/>
    </row>
    <row r="7" spans="1:8" x14ac:dyDescent="0.2">
      <c r="A7" s="15"/>
      <c r="B7" s="16"/>
      <c r="C7" s="17"/>
      <c r="D7" s="18"/>
      <c r="E7" s="1"/>
      <c r="F7" s="1"/>
      <c r="G7" s="1"/>
      <c r="H7" s="1"/>
    </row>
    <row r="8" spans="1:8" x14ac:dyDescent="0.2">
      <c r="A8" s="19" t="s">
        <v>8</v>
      </c>
      <c r="B8" s="20"/>
      <c r="C8" s="20"/>
      <c r="D8" s="21"/>
      <c r="E8" s="22"/>
      <c r="F8" s="22"/>
      <c r="G8" s="21"/>
      <c r="H8" s="23"/>
    </row>
    <row r="9" spans="1:8" ht="6" customHeight="1" x14ac:dyDescent="0.2">
      <c r="A9" s="24"/>
      <c r="B9" s="25"/>
      <c r="C9" s="16"/>
      <c r="D9" s="26"/>
      <c r="E9" s="27"/>
      <c r="F9" s="27"/>
      <c r="G9" s="27"/>
      <c r="H9" s="27"/>
    </row>
    <row r="10" spans="1:8" ht="50" customHeight="1" x14ac:dyDescent="0.2">
      <c r="A10" s="28" t="s">
        <v>9</v>
      </c>
      <c r="B10" s="29" t="s">
        <v>10</v>
      </c>
      <c r="C10" s="29"/>
      <c r="D10" s="29"/>
      <c r="E10" s="29"/>
      <c r="F10" s="29"/>
      <c r="G10" s="29"/>
      <c r="H10" s="29"/>
    </row>
    <row r="11" spans="1:8" ht="6" customHeight="1" x14ac:dyDescent="0.2">
      <c r="A11" s="30"/>
      <c r="B11" s="31"/>
      <c r="C11" s="31"/>
      <c r="D11" s="31"/>
      <c r="E11" s="31"/>
      <c r="F11" s="31"/>
      <c r="G11" s="31"/>
      <c r="H11" s="31"/>
    </row>
    <row r="12" spans="1:8" ht="50" customHeight="1" x14ac:dyDescent="0.2">
      <c r="A12" s="28" t="s">
        <v>11</v>
      </c>
      <c r="B12" s="32"/>
      <c r="C12" s="32"/>
      <c r="D12" s="32"/>
      <c r="E12" s="32"/>
      <c r="F12" s="32"/>
      <c r="G12" s="32"/>
      <c r="H12" s="32"/>
    </row>
    <row r="13" spans="1:8" ht="6" customHeight="1" x14ac:dyDescent="0.2">
      <c r="A13" s="30"/>
      <c r="B13" s="31"/>
      <c r="C13" s="31"/>
      <c r="D13" s="31"/>
      <c r="E13" s="31"/>
      <c r="F13" s="31"/>
      <c r="G13" s="31"/>
      <c r="H13" s="31"/>
    </row>
    <row r="14" spans="1:8" ht="19" x14ac:dyDescent="0.2">
      <c r="A14" s="33" t="s">
        <v>12</v>
      </c>
      <c r="B14" s="33"/>
      <c r="C14" s="33"/>
      <c r="D14" s="33"/>
      <c r="E14" s="33"/>
      <c r="F14" s="33"/>
      <c r="G14" s="33"/>
      <c r="H14" s="33"/>
    </row>
    <row r="15" spans="1:8" ht="81" customHeight="1" x14ac:dyDescent="0.2">
      <c r="A15" s="34"/>
      <c r="B15" s="34"/>
      <c r="C15" s="34"/>
      <c r="D15" s="34"/>
      <c r="E15" s="34"/>
      <c r="F15" s="34"/>
      <c r="G15" s="34"/>
      <c r="H15" s="34"/>
    </row>
    <row r="16" spans="1:8" x14ac:dyDescent="0.2">
      <c r="A16" s="35" t="s">
        <v>12</v>
      </c>
      <c r="B16" s="36" t="s">
        <v>13</v>
      </c>
      <c r="C16" s="37" t="str">
        <f>IF(OR(A18=[1]Drawings!A5, A18=[1]Drawings!A6),"Fiber Length (mm)","")</f>
        <v/>
      </c>
      <c r="D16" s="38" t="str">
        <f>IF(OR(A18=[1]Drawings!A3, A18=[1]Drawings!A4),"Capillary","")</f>
        <v/>
      </c>
      <c r="E16" s="38"/>
      <c r="F16" s="39" t="str">
        <f>IF(OR(A18=[1]Drawings!A4, A18=[1]Drawings!A6),"Tube","")</f>
        <v/>
      </c>
      <c r="G16" s="40"/>
      <c r="H16" s="41"/>
    </row>
    <row r="17" spans="1:8" ht="17" x14ac:dyDescent="0.2">
      <c r="A17" s="42"/>
      <c r="B17" s="43"/>
      <c r="C17" s="44"/>
      <c r="D17" s="45" t="str">
        <f>IF(OR(A18=[1]Drawings!A3, A18=[1]Drawings!A4),"Diameter (mm)","")</f>
        <v/>
      </c>
      <c r="E17" s="45" t="str">
        <f>IF(OR(A18=[1]Drawings!A3, A18=[1]Drawings!A4),"Length (mm)","")</f>
        <v/>
      </c>
      <c r="F17" s="45" t="str">
        <f>IF(OR(A18=[1]Drawings!A4, A18=[1]Drawings!A6),"Material","")</f>
        <v/>
      </c>
      <c r="G17" s="46" t="str">
        <f>IF(OR(A18=[1]Drawings!A4, A18=[1]Drawings!A6),"Diameter (mm)","")</f>
        <v/>
      </c>
      <c r="H17" s="45" t="str">
        <f>IF(OR(A18=[1]Drawings!A4, A18=[1]Drawings!A6),"Length (mm)","")</f>
        <v/>
      </c>
    </row>
    <row r="18" spans="1:8" ht="17" x14ac:dyDescent="0.2">
      <c r="A18" s="47"/>
      <c r="B18" s="48"/>
      <c r="C18" s="49"/>
      <c r="D18" s="49"/>
      <c r="E18" s="49"/>
      <c r="F18" s="49"/>
      <c r="G18" s="49" t="s">
        <v>14</v>
      </c>
      <c r="H18" s="49"/>
    </row>
    <row r="19" spans="1:8" x14ac:dyDescent="0.2">
      <c r="A19" s="30"/>
      <c r="B19" s="50"/>
      <c r="C19" s="50"/>
      <c r="D19" s="50"/>
      <c r="E19" s="50"/>
      <c r="F19" s="50"/>
      <c r="G19" s="50"/>
      <c r="H19" s="50"/>
    </row>
    <row r="20" spans="1:8" ht="19" x14ac:dyDescent="0.2">
      <c r="A20" s="51" t="s">
        <v>15</v>
      </c>
      <c r="B20" s="51"/>
      <c r="C20" s="51"/>
      <c r="D20" s="51"/>
      <c r="E20" s="51"/>
      <c r="F20" s="51"/>
      <c r="G20" s="51"/>
      <c r="H20" s="51"/>
    </row>
    <row r="21" spans="1:8" x14ac:dyDescent="0.2">
      <c r="A21" s="52" t="s">
        <v>16</v>
      </c>
      <c r="B21" s="52"/>
      <c r="C21" s="53" t="s">
        <v>17</v>
      </c>
      <c r="D21" s="52" t="s">
        <v>18</v>
      </c>
      <c r="E21" s="52"/>
      <c r="F21" s="54"/>
      <c r="G21" s="54"/>
      <c r="H21" s="54"/>
    </row>
    <row r="22" spans="1:8" ht="17" x14ac:dyDescent="0.2">
      <c r="A22" s="55" t="s">
        <v>19</v>
      </c>
      <c r="B22" s="55" t="s">
        <v>20</v>
      </c>
      <c r="C22" s="56"/>
      <c r="D22" s="55" t="s">
        <v>21</v>
      </c>
      <c r="E22" s="55" t="s">
        <v>22</v>
      </c>
      <c r="F22" s="54"/>
      <c r="G22" s="54"/>
      <c r="H22" s="54"/>
    </row>
    <row r="23" spans="1:8" x14ac:dyDescent="0.2">
      <c r="A23" s="57"/>
      <c r="B23" s="57"/>
      <c r="C23" s="57"/>
      <c r="D23" s="57"/>
      <c r="E23" s="57"/>
      <c r="F23" s="58"/>
      <c r="G23" s="59"/>
      <c r="H23" s="25"/>
    </row>
    <row r="24" spans="1:8" x14ac:dyDescent="0.2">
      <c r="A24" s="58"/>
      <c r="B24" s="58"/>
      <c r="C24" s="58"/>
      <c r="D24" s="58"/>
      <c r="E24" s="58"/>
      <c r="F24" s="58"/>
      <c r="G24" s="59"/>
      <c r="H24" s="25"/>
    </row>
    <row r="25" spans="1:8" ht="19" x14ac:dyDescent="0.2">
      <c r="A25" s="60" t="s">
        <v>23</v>
      </c>
      <c r="B25" s="60"/>
      <c r="C25" s="60"/>
      <c r="D25" s="60"/>
      <c r="E25" s="60"/>
      <c r="F25" s="60"/>
      <c r="G25" s="60"/>
      <c r="H25" s="61"/>
    </row>
    <row r="26" spans="1:8" ht="17" x14ac:dyDescent="0.2">
      <c r="A26" s="62"/>
      <c r="B26" s="62" t="s">
        <v>24</v>
      </c>
      <c r="C26" s="62" t="s">
        <v>25</v>
      </c>
      <c r="D26" s="62" t="s">
        <v>26</v>
      </c>
      <c r="E26" s="62" t="s">
        <v>27</v>
      </c>
      <c r="F26" s="62" t="s">
        <v>28</v>
      </c>
      <c r="G26" s="63" t="s">
        <v>29</v>
      </c>
      <c r="H26" s="15"/>
    </row>
    <row r="27" spans="1:8" ht="17" x14ac:dyDescent="0.2">
      <c r="A27" s="64" t="s">
        <v>30</v>
      </c>
      <c r="B27" s="65" t="s">
        <v>31</v>
      </c>
      <c r="C27" s="65" t="s">
        <v>31</v>
      </c>
      <c r="D27" s="65" t="s">
        <v>31</v>
      </c>
      <c r="E27" s="65" t="s">
        <v>31</v>
      </c>
      <c r="F27" s="65" t="s">
        <v>31</v>
      </c>
      <c r="G27" s="66"/>
      <c r="H27" s="58"/>
    </row>
    <row r="28" spans="1:8" ht="17" x14ac:dyDescent="0.2">
      <c r="A28" s="67" t="s">
        <v>32</v>
      </c>
      <c r="B28" s="65" t="s">
        <v>31</v>
      </c>
      <c r="C28" s="65" t="s">
        <v>31</v>
      </c>
      <c r="D28" s="65" t="s">
        <v>31</v>
      </c>
      <c r="E28" s="65" t="s">
        <v>31</v>
      </c>
      <c r="F28" s="65" t="s">
        <v>31</v>
      </c>
      <c r="G28" s="17"/>
      <c r="H28" s="17"/>
    </row>
    <row r="29" spans="1:8" ht="17" x14ac:dyDescent="0.2">
      <c r="A29" s="67" t="s">
        <v>33</v>
      </c>
      <c r="B29" s="65" t="s">
        <v>31</v>
      </c>
      <c r="C29" s="65" t="s">
        <v>31</v>
      </c>
      <c r="D29" s="65" t="s">
        <v>31</v>
      </c>
      <c r="E29" s="65" t="s">
        <v>31</v>
      </c>
      <c r="F29" s="65" t="s">
        <v>31</v>
      </c>
      <c r="G29" s="17"/>
      <c r="H29" s="17"/>
    </row>
    <row r="30" spans="1:8" x14ac:dyDescent="0.2">
      <c r="A30" s="58"/>
      <c r="B30" s="58"/>
      <c r="C30" s="68"/>
      <c r="D30" s="68"/>
      <c r="E30" s="68"/>
      <c r="F30" s="69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ht="19" x14ac:dyDescent="0.25">
      <c r="A32" s="70" t="s">
        <v>34</v>
      </c>
      <c r="B32" s="70"/>
      <c r="C32" s="70"/>
      <c r="D32" s="70"/>
      <c r="E32" s="70"/>
      <c r="F32" s="70"/>
      <c r="G32" s="70"/>
      <c r="H32" s="70"/>
    </row>
    <row r="33" spans="1:8" ht="37" x14ac:dyDescent="0.2">
      <c r="A33" s="58"/>
      <c r="B33" s="71" t="s">
        <v>35</v>
      </c>
      <c r="C33" s="72" t="s">
        <v>36</v>
      </c>
      <c r="D33" s="1"/>
      <c r="E33" s="73" t="s">
        <v>37</v>
      </c>
      <c r="F33" s="17"/>
      <c r="G33" s="1"/>
      <c r="H33" s="1"/>
    </row>
    <row r="34" spans="1:8" x14ac:dyDescent="0.2">
      <c r="A34" s="58"/>
      <c r="B34" s="74"/>
      <c r="C34" s="75"/>
      <c r="D34" s="1"/>
      <c r="E34" s="76"/>
      <c r="F34" s="17"/>
      <c r="G34" s="1"/>
      <c r="H34" s="1"/>
    </row>
    <row r="35" spans="1:8" x14ac:dyDescent="0.2">
      <c r="A35" s="77"/>
      <c r="B35" s="78"/>
      <c r="C35" s="78"/>
      <c r="D35" s="18"/>
      <c r="E35" s="54"/>
      <c r="F35" s="79"/>
      <c r="G35" s="24"/>
      <c r="H35" s="18"/>
    </row>
    <row r="36" spans="1:8" ht="19" x14ac:dyDescent="0.2">
      <c r="A36" s="80" t="s">
        <v>38</v>
      </c>
      <c r="B36" s="80"/>
      <c r="C36" s="80"/>
      <c r="D36" s="80"/>
      <c r="E36" s="80"/>
      <c r="F36" s="80"/>
      <c r="G36" s="80"/>
      <c r="H36" s="80"/>
    </row>
    <row r="37" spans="1:8" ht="34" x14ac:dyDescent="0.2">
      <c r="A37" s="81" t="s">
        <v>39</v>
      </c>
      <c r="B37" s="82" t="s">
        <v>24</v>
      </c>
      <c r="C37" s="82" t="s">
        <v>40</v>
      </c>
      <c r="D37" s="82" t="s">
        <v>41</v>
      </c>
      <c r="E37" s="82" t="s">
        <v>42</v>
      </c>
      <c r="F37" s="58"/>
      <c r="G37" s="26"/>
      <c r="H37" s="17"/>
    </row>
    <row r="38" spans="1:8" x14ac:dyDescent="0.2">
      <c r="A38" s="83"/>
      <c r="B38" s="84"/>
      <c r="C38" s="84"/>
      <c r="D38" s="84"/>
      <c r="E38" s="84"/>
      <c r="F38" s="85"/>
      <c r="G38" s="86" t="s">
        <v>43</v>
      </c>
      <c r="H38" s="86"/>
    </row>
    <row r="39" spans="1:8" x14ac:dyDescent="0.2">
      <c r="A39" s="83"/>
      <c r="B39" s="84"/>
      <c r="C39" s="84"/>
      <c r="D39" s="84"/>
      <c r="E39" s="84"/>
      <c r="F39" s="85"/>
      <c r="G39" s="87" t="s">
        <v>44</v>
      </c>
      <c r="H39" s="87"/>
    </row>
    <row r="40" spans="1:8" x14ac:dyDescent="0.2">
      <c r="A40" s="83" t="str">
        <f t="shared" ref="A38:A62" si="0">IF($G$40 &gt; ROW()-ROW($A$38),CONCATENATE("FBG",ROW()-ROW($A$37)),"")</f>
        <v/>
      </c>
      <c r="B40" s="84" t="str">
        <f>IF([1]Definitions!$W$2,IF($G$40 &gt; ROW()-ROW($A$38),$B39+$G$48,""),"")</f>
        <v/>
      </c>
      <c r="C40" s="84" t="str">
        <f>IF(AND($G$40 &gt; ROW()-ROW($A$38),[1]Definitions!$Y$2),$C39+$G$55,"")</f>
        <v/>
      </c>
      <c r="D40" s="84" t="str">
        <f t="shared" ref="D38:D62" si="1">IF(ISNUMBER(C40),$C$34-$C40,"")</f>
        <v/>
      </c>
      <c r="E40" s="84" t="str">
        <f t="shared" ref="E39:E62" si="2">IF(ISNUMBER(C40),C40-C39,"")</f>
        <v/>
      </c>
      <c r="F40" s="85"/>
      <c r="G40" s="88"/>
      <c r="H40" s="88"/>
    </row>
    <row r="41" spans="1:8" x14ac:dyDescent="0.2">
      <c r="A41" s="83" t="str">
        <f t="shared" si="0"/>
        <v/>
      </c>
      <c r="B41" s="84" t="str">
        <f>IF([1]Definitions!$W$2,IF($G$40 &gt; ROW()-ROW($A$38),$B40+$G$48,""),"")</f>
        <v/>
      </c>
      <c r="C41" s="84" t="str">
        <f>IF(AND($G$40 &gt; ROW()-ROW($A$38),[1]Definitions!$Y$2),$C40+$G$55,"")</f>
        <v/>
      </c>
      <c r="D41" s="84" t="str">
        <f t="shared" si="1"/>
        <v/>
      </c>
      <c r="E41" s="84" t="str">
        <f t="shared" si="2"/>
        <v/>
      </c>
      <c r="F41" s="85"/>
      <c r="G41" s="26"/>
      <c r="H41" s="26"/>
    </row>
    <row r="42" spans="1:8" x14ac:dyDescent="0.2">
      <c r="A42" s="83" t="str">
        <f t="shared" si="0"/>
        <v/>
      </c>
      <c r="B42" s="84" t="str">
        <f>IF([1]Definitions!$W$2,IF($G$40 &gt; ROW()-ROW($A$38),$B41+$G$48,""),"")</f>
        <v/>
      </c>
      <c r="C42" s="84" t="str">
        <f>IF(AND($G$40 &gt; ROW()-ROW($A$38),[1]Definitions!$Y$2),$C41+$G$55,"")</f>
        <v/>
      </c>
      <c r="D42" s="84" t="str">
        <f t="shared" si="1"/>
        <v/>
      </c>
      <c r="E42" s="84" t="str">
        <f t="shared" si="2"/>
        <v/>
      </c>
      <c r="F42" s="85"/>
      <c r="G42" s="89" t="s">
        <v>45</v>
      </c>
      <c r="H42" s="89"/>
    </row>
    <row r="43" spans="1:8" x14ac:dyDescent="0.2">
      <c r="A43" s="83" t="str">
        <f t="shared" si="0"/>
        <v/>
      </c>
      <c r="B43" s="84" t="str">
        <f>IF([1]Definitions!$W$2,IF($G$40 &gt; ROW()-ROW($A$38),$B42+$G$48,""),"")</f>
        <v/>
      </c>
      <c r="C43" s="84" t="str">
        <f>IF(AND($G$40 &gt; ROW()-ROW($A$38),[1]Definitions!$Y$2),$C42+$G$55,"")</f>
        <v/>
      </c>
      <c r="D43" s="84" t="str">
        <f t="shared" si="1"/>
        <v/>
      </c>
      <c r="E43" s="84" t="str">
        <f t="shared" si="2"/>
        <v/>
      </c>
      <c r="F43" s="85"/>
      <c r="G43" s="88"/>
      <c r="H43" s="88"/>
    </row>
    <row r="44" spans="1:8" x14ac:dyDescent="0.2">
      <c r="A44" s="83" t="str">
        <f t="shared" si="0"/>
        <v/>
      </c>
      <c r="B44" s="84" t="str">
        <f>IF([1]Definitions!$W$2,IF($G$40 &gt; ROW()-ROW($A$38),$B43+$G$48,""),"")</f>
        <v/>
      </c>
      <c r="C44" s="84" t="str">
        <f>IF(AND($G$40 &gt; ROW()-ROW($A$38),[1]Definitions!$Y$2),$C43+$G$55,"")</f>
        <v/>
      </c>
      <c r="D44" s="84" t="str">
        <f t="shared" si="1"/>
        <v/>
      </c>
      <c r="E44" s="84" t="str">
        <f t="shared" si="2"/>
        <v/>
      </c>
      <c r="F44" s="85"/>
      <c r="G44" s="1"/>
      <c r="H44" s="1"/>
    </row>
    <row r="45" spans="1:8" x14ac:dyDescent="0.2">
      <c r="A45" s="83" t="str">
        <f t="shared" si="0"/>
        <v/>
      </c>
      <c r="B45" s="84" t="str">
        <f>IF([1]Definitions!$W$2,IF($G$40 &gt; ROW()-ROW($A$38),$B44+$G$48,""),"")</f>
        <v/>
      </c>
      <c r="C45" s="84" t="str">
        <f>IF(AND($G$40 &gt; ROW()-ROW($A$38),[1]Definitions!$Y$2),$C44+$G$55,"")</f>
        <v/>
      </c>
      <c r="D45" s="84" t="str">
        <f t="shared" si="1"/>
        <v/>
      </c>
      <c r="E45" s="84" t="str">
        <f t="shared" si="2"/>
        <v/>
      </c>
      <c r="F45" s="85"/>
      <c r="G45" s="90" t="s">
        <v>46</v>
      </c>
      <c r="H45" s="91"/>
    </row>
    <row r="46" spans="1:8" x14ac:dyDescent="0.2">
      <c r="A46" s="83" t="str">
        <f t="shared" si="0"/>
        <v/>
      </c>
      <c r="B46" s="84" t="str">
        <f>IF([1]Definitions!$W$2,IF($G$40 &gt; ROW()-ROW($A$38),$B45+$G$48,""),"")</f>
        <v/>
      </c>
      <c r="C46" s="84" t="str">
        <f>IF(AND($G$40 &gt; ROW()-ROW($A$38),[1]Definitions!$Y$2),$C45+$G$55,"")</f>
        <v/>
      </c>
      <c r="D46" s="84" t="str">
        <f t="shared" si="1"/>
        <v/>
      </c>
      <c r="E46" s="84" t="str">
        <f t="shared" si="2"/>
        <v/>
      </c>
      <c r="F46" s="85"/>
      <c r="G46" s="92" t="s">
        <v>47</v>
      </c>
      <c r="H46" s="93"/>
    </row>
    <row r="47" spans="1:8" x14ac:dyDescent="0.2">
      <c r="A47" s="83" t="str">
        <f t="shared" si="0"/>
        <v/>
      </c>
      <c r="B47" s="84" t="str">
        <f>IF([1]Definitions!$W$2,IF($G$40 &gt; ROW()-ROW($A$38),$B46+$G$48,""),"")</f>
        <v/>
      </c>
      <c r="C47" s="84" t="str">
        <f>IF(AND($G$40 &gt; ROW()-ROW($A$38),[1]Definitions!$Y$2),$C46+$G$55,"")</f>
        <v/>
      </c>
      <c r="D47" s="84" t="str">
        <f t="shared" si="1"/>
        <v/>
      </c>
      <c r="E47" s="84" t="str">
        <f t="shared" si="2"/>
        <v/>
      </c>
      <c r="F47" s="85"/>
      <c r="G47" s="94" t="s">
        <v>48</v>
      </c>
      <c r="H47" s="95"/>
    </row>
    <row r="48" spans="1:8" x14ac:dyDescent="0.2">
      <c r="A48" s="83" t="str">
        <f t="shared" si="0"/>
        <v/>
      </c>
      <c r="B48" s="84" t="str">
        <f>IF([1]Definitions!$W$2,IF($G$40 &gt; ROW()-ROW($A$38),$B47+$G$48,""),"")</f>
        <v/>
      </c>
      <c r="C48" s="84" t="str">
        <f>IF(AND($G$40 &gt; ROW()-ROW($A$38),[1]Definitions!$Y$2),$C47+$G$55,"")</f>
        <v/>
      </c>
      <c r="D48" s="84" t="str">
        <f t="shared" si="1"/>
        <v/>
      </c>
      <c r="E48" s="84" t="str">
        <f t="shared" si="2"/>
        <v/>
      </c>
      <c r="F48" s="85"/>
      <c r="G48" s="96"/>
      <c r="H48" s="96"/>
    </row>
    <row r="49" spans="1:8" x14ac:dyDescent="0.2">
      <c r="A49" s="83" t="str">
        <f t="shared" si="0"/>
        <v/>
      </c>
      <c r="B49" s="84" t="str">
        <f>IF([1]Definitions!$W$2,IF($G$40 &gt; ROW()-ROW($A$38),$B48+$G$48,""),"")</f>
        <v/>
      </c>
      <c r="C49" s="84" t="str">
        <f>IF(AND($G$40 &gt; ROW()-ROW($A$38),[1]Definitions!$Y$2),$C48+$G$55,"")</f>
        <v/>
      </c>
      <c r="D49" s="84" t="str">
        <f t="shared" si="1"/>
        <v/>
      </c>
      <c r="E49" s="84" t="str">
        <f t="shared" si="2"/>
        <v/>
      </c>
      <c r="F49" s="85"/>
      <c r="G49" s="97" t="s">
        <v>49</v>
      </c>
      <c r="H49" s="97"/>
    </row>
    <row r="50" spans="1:8" x14ac:dyDescent="0.2">
      <c r="A50" s="83" t="str">
        <f t="shared" si="0"/>
        <v/>
      </c>
      <c r="B50" s="84" t="str">
        <f>IF([1]Definitions!$W$2,IF($G$40 &gt; ROW()-ROW($A$38),$B49+$G$48,""),"")</f>
        <v/>
      </c>
      <c r="C50" s="84" t="str">
        <f>IF(AND($G$40 &gt; ROW()-ROW($A$38),[1]Definitions!$Y$2),$C49+$G$55,"")</f>
        <v/>
      </c>
      <c r="D50" s="84" t="str">
        <f t="shared" si="1"/>
        <v/>
      </c>
      <c r="E50" s="84" t="str">
        <f t="shared" si="2"/>
        <v/>
      </c>
      <c r="F50" s="85"/>
      <c r="G50" s="96"/>
      <c r="H50" s="96"/>
    </row>
    <row r="51" spans="1:8" x14ac:dyDescent="0.2">
      <c r="A51" s="83" t="str">
        <f t="shared" si="0"/>
        <v/>
      </c>
      <c r="B51" s="84" t="str">
        <f>IF([1]Definitions!$W$2,IF($G$40 &gt; ROW()-ROW($A$38),$B50+$G$48,""),"")</f>
        <v/>
      </c>
      <c r="C51" s="84" t="str">
        <f>IF(AND($G$40 &gt; ROW()-ROW($A$38),[1]Definitions!$Y$2),$C50+$G$55,"")</f>
        <v/>
      </c>
      <c r="D51" s="84" t="str">
        <f t="shared" si="1"/>
        <v/>
      </c>
      <c r="E51" s="84" t="str">
        <f t="shared" si="2"/>
        <v/>
      </c>
      <c r="F51" s="85"/>
      <c r="G51" s="17"/>
      <c r="H51" s="17"/>
    </row>
    <row r="52" spans="1:8" x14ac:dyDescent="0.2">
      <c r="A52" s="83" t="str">
        <f t="shared" si="0"/>
        <v/>
      </c>
      <c r="B52" s="84" t="str">
        <f>IF([1]Definitions!$W$2,IF($G$40 &gt; ROW()-ROW($A$38),$B51+$G$48,""),"")</f>
        <v/>
      </c>
      <c r="C52" s="84" t="str">
        <f>IF(AND($G$40 &gt; ROW()-ROW($A$38),[1]Definitions!$Y$2),$C51+$G$55,"")</f>
        <v/>
      </c>
      <c r="D52" s="84" t="str">
        <f t="shared" si="1"/>
        <v/>
      </c>
      <c r="E52" s="84" t="str">
        <f t="shared" si="2"/>
        <v/>
      </c>
      <c r="F52" s="85"/>
      <c r="G52" s="98" t="s">
        <v>42</v>
      </c>
      <c r="H52" s="99"/>
    </row>
    <row r="53" spans="1:8" x14ac:dyDescent="0.2">
      <c r="A53" s="83" t="str">
        <f t="shared" si="0"/>
        <v/>
      </c>
      <c r="B53" s="84" t="str">
        <f>IF([1]Definitions!$W$2,IF($G$40 &gt; ROW()-ROW($A$38),$B52+$G$48,""),"")</f>
        <v/>
      </c>
      <c r="C53" s="84" t="str">
        <f>IF(AND($G$40 &gt; ROW()-ROW($A$38),[1]Definitions!$Y$2),$C52+$G$55,"")</f>
        <v/>
      </c>
      <c r="D53" s="84" t="str">
        <f t="shared" si="1"/>
        <v/>
      </c>
      <c r="E53" s="84" t="str">
        <f t="shared" si="2"/>
        <v/>
      </c>
      <c r="F53" s="85"/>
      <c r="G53" s="100" t="s">
        <v>50</v>
      </c>
      <c r="H53" s="101"/>
    </row>
    <row r="54" spans="1:8" x14ac:dyDescent="0.2">
      <c r="A54" s="83" t="str">
        <f t="shared" si="0"/>
        <v/>
      </c>
      <c r="B54" s="84" t="str">
        <f>IF([1]Definitions!$W$2,IF($G$40 &gt; ROW()-ROW($A$38),$B53+$G$48,""),"")</f>
        <v/>
      </c>
      <c r="C54" s="84" t="str">
        <f>IF(AND($G$40 &gt; ROW()-ROW($A$38),[1]Definitions!$Y$2),$C53+$G$55,"")</f>
        <v/>
      </c>
      <c r="D54" s="84" t="str">
        <f t="shared" si="1"/>
        <v/>
      </c>
      <c r="E54" s="84" t="str">
        <f t="shared" si="2"/>
        <v/>
      </c>
      <c r="F54" s="85"/>
      <c r="G54" s="102" t="s">
        <v>51</v>
      </c>
      <c r="H54" s="102"/>
    </row>
    <row r="55" spans="1:8" x14ac:dyDescent="0.2">
      <c r="A55" s="83" t="str">
        <f t="shared" si="0"/>
        <v/>
      </c>
      <c r="B55" s="84" t="str">
        <f>IF([1]Definitions!$W$2,IF($G$40 &gt; ROW()-ROW($A$38),$B54+$G$48,""),"")</f>
        <v/>
      </c>
      <c r="C55" s="84" t="str">
        <f>IF(AND($G$40 &gt; ROW()-ROW($A$38),[1]Definitions!$Y$2),$C54+$G$55,"")</f>
        <v/>
      </c>
      <c r="D55" s="84" t="str">
        <f t="shared" si="1"/>
        <v/>
      </c>
      <c r="E55" s="84" t="str">
        <f t="shared" si="2"/>
        <v/>
      </c>
      <c r="F55" s="85"/>
      <c r="G55" s="20"/>
      <c r="H55" s="20"/>
    </row>
    <row r="56" spans="1:8" x14ac:dyDescent="0.2">
      <c r="A56" s="83" t="str">
        <f t="shared" si="0"/>
        <v/>
      </c>
      <c r="B56" s="84" t="str">
        <f>IF([1]Definitions!$W$2,IF($G$40 &gt; ROW()-ROW($A$38),$B55+$G$48,""),"")</f>
        <v/>
      </c>
      <c r="C56" s="84" t="str">
        <f>IF(AND($G$40 &gt; ROW()-ROW($A$38),[1]Definitions!$Y$2),$C55+$G$55,"")</f>
        <v/>
      </c>
      <c r="D56" s="84" t="str">
        <f t="shared" si="1"/>
        <v/>
      </c>
      <c r="E56" s="84" t="str">
        <f t="shared" si="2"/>
        <v/>
      </c>
      <c r="F56" s="85"/>
      <c r="G56" s="24"/>
      <c r="H56" s="17"/>
    </row>
    <row r="57" spans="1:8" x14ac:dyDescent="0.2">
      <c r="A57" s="83" t="str">
        <f t="shared" si="0"/>
        <v/>
      </c>
      <c r="B57" s="84" t="str">
        <f>IF([1]Definitions!$W$2,IF($G$40 &gt; ROW()-ROW($A$38),$B56+$G$48,""),"")</f>
        <v/>
      </c>
      <c r="C57" s="84" t="str">
        <f>IF(AND($G$40 &gt; ROW()-ROW($A$38),[1]Definitions!$Y$2),$C56+$G$55,"")</f>
        <v/>
      </c>
      <c r="D57" s="84" t="str">
        <f t="shared" si="1"/>
        <v/>
      </c>
      <c r="E57" s="84" t="str">
        <f t="shared" si="2"/>
        <v/>
      </c>
      <c r="F57" s="85"/>
      <c r="G57" s="24"/>
      <c r="H57" s="17"/>
    </row>
    <row r="58" spans="1:8" x14ac:dyDescent="0.2">
      <c r="A58" s="83" t="str">
        <f t="shared" si="0"/>
        <v/>
      </c>
      <c r="B58" s="84" t="str">
        <f>IF([1]Definitions!$W$2,IF($G$40 &gt; ROW()-ROW($A$38),$B57+$G$48,""),"")</f>
        <v/>
      </c>
      <c r="C58" s="84" t="str">
        <f>IF(AND($G$40 &gt; ROW()-ROW($A$38),[1]Definitions!$Y$2),$C57+$G$55,"")</f>
        <v/>
      </c>
      <c r="D58" s="84" t="str">
        <f t="shared" si="1"/>
        <v/>
      </c>
      <c r="E58" s="84" t="str">
        <f t="shared" si="2"/>
        <v/>
      </c>
      <c r="F58" s="85"/>
      <c r="G58" s="24"/>
      <c r="H58" s="17"/>
    </row>
    <row r="59" spans="1:8" x14ac:dyDescent="0.2">
      <c r="A59" s="83" t="str">
        <f t="shared" si="0"/>
        <v/>
      </c>
      <c r="B59" s="84" t="str">
        <f>IF([1]Definitions!$W$2,IF($G$40 &gt; ROW()-ROW($A$38),$B58+$G$48,""),"")</f>
        <v/>
      </c>
      <c r="C59" s="84" t="str">
        <f>IF(AND($G$40 &gt; ROW()-ROW($A$38),[1]Definitions!$Y$2),$C58+$G$55,"")</f>
        <v/>
      </c>
      <c r="D59" s="84" t="str">
        <f t="shared" si="1"/>
        <v/>
      </c>
      <c r="E59" s="84" t="str">
        <f t="shared" si="2"/>
        <v/>
      </c>
      <c r="F59" s="85"/>
      <c r="G59" s="24"/>
      <c r="H59" s="17"/>
    </row>
    <row r="60" spans="1:8" x14ac:dyDescent="0.2">
      <c r="A60" s="83" t="str">
        <f t="shared" si="0"/>
        <v/>
      </c>
      <c r="B60" s="84" t="str">
        <f>IF([1]Definitions!$W$2,IF($G$40 &gt; ROW()-ROW($A$38),$B59+$G$48,""),"")</f>
        <v/>
      </c>
      <c r="C60" s="84" t="str">
        <f>IF(AND($G$40 &gt; ROW()-ROW($A$38),[1]Definitions!$Y$2),$C59+$G$55,"")</f>
        <v/>
      </c>
      <c r="D60" s="84" t="str">
        <f t="shared" si="1"/>
        <v/>
      </c>
      <c r="E60" s="84" t="str">
        <f t="shared" si="2"/>
        <v/>
      </c>
      <c r="F60" s="85"/>
      <c r="G60" s="103" t="s">
        <v>52</v>
      </c>
      <c r="H60" s="103"/>
    </row>
    <row r="61" spans="1:8" x14ac:dyDescent="0.2">
      <c r="A61" s="83" t="str">
        <f t="shared" si="0"/>
        <v/>
      </c>
      <c r="B61" s="84" t="str">
        <f>IF([1]Definitions!$W$2,IF($G$40 &gt; ROW()-ROW($A$38),$B60+$G$48,""),"")</f>
        <v/>
      </c>
      <c r="C61" s="84" t="str">
        <f>IF(AND($G$40 &gt; ROW()-ROW($A$38),[1]Definitions!$Y$2),$C60+$G$55,"")</f>
        <v/>
      </c>
      <c r="D61" s="84" t="str">
        <f t="shared" si="1"/>
        <v/>
      </c>
      <c r="E61" s="84" t="str">
        <f t="shared" si="2"/>
        <v/>
      </c>
      <c r="F61" s="85"/>
      <c r="G61" s="103"/>
      <c r="H61" s="103"/>
    </row>
    <row r="62" spans="1:8" x14ac:dyDescent="0.2">
      <c r="A62" s="83" t="str">
        <f t="shared" si="0"/>
        <v/>
      </c>
      <c r="B62" s="84" t="str">
        <f>IF([1]Definitions!$W$2,IF($G$40 &gt; ROW()-ROW($A$38),$B61+$G$48,""),"")</f>
        <v/>
      </c>
      <c r="C62" s="84" t="str">
        <f>IF(AND($G$40 &gt; ROW()-ROW($A$38),[1]Definitions!$Y$2),$C61+$G$55,"")</f>
        <v/>
      </c>
      <c r="D62" s="84" t="str">
        <f t="shared" si="1"/>
        <v/>
      </c>
      <c r="E62" s="84" t="str">
        <f t="shared" si="2"/>
        <v/>
      </c>
      <c r="F62" s="85"/>
      <c r="G62" s="104" t="s">
        <v>53</v>
      </c>
      <c r="H62" s="104"/>
    </row>
    <row r="63" spans="1:8" x14ac:dyDescent="0.2">
      <c r="A63" s="105"/>
      <c r="B63" s="105"/>
      <c r="C63" s="105"/>
      <c r="D63" s="105"/>
      <c r="E63" s="105"/>
      <c r="F63" s="17"/>
      <c r="G63" s="24"/>
      <c r="H63" s="17"/>
    </row>
    <row r="64" spans="1:8" x14ac:dyDescent="0.2">
      <c r="A64" s="105"/>
      <c r="B64" s="105"/>
      <c r="C64" s="105"/>
      <c r="D64" s="105"/>
      <c r="E64" s="105"/>
      <c r="F64" s="17"/>
      <c r="G64" s="24"/>
      <c r="H64" s="17"/>
    </row>
    <row r="65" spans="1:8" x14ac:dyDescent="0.2">
      <c r="A65" s="106" t="s">
        <v>54</v>
      </c>
      <c r="B65" s="107"/>
      <c r="C65" s="108" t="s">
        <v>55</v>
      </c>
      <c r="D65" s="109"/>
      <c r="E65" s="109"/>
      <c r="F65" s="110"/>
      <c r="G65" s="24"/>
      <c r="H65" s="17"/>
    </row>
    <row r="66" spans="1:8" x14ac:dyDescent="0.2">
      <c r="A66" s="17"/>
      <c r="B66" s="17"/>
      <c r="C66" s="17"/>
      <c r="D66" s="17"/>
      <c r="E66" s="17"/>
      <c r="F66" s="17"/>
      <c r="G66" s="24"/>
      <c r="H66" s="17"/>
    </row>
    <row r="67" spans="1:8" x14ac:dyDescent="0.2">
      <c r="A67" s="17"/>
      <c r="B67" s="17"/>
      <c r="C67" s="17"/>
      <c r="D67" s="17"/>
      <c r="E67" s="17"/>
      <c r="F67" s="17"/>
      <c r="G67" s="24"/>
      <c r="H67" s="17"/>
    </row>
    <row r="68" spans="1:8" x14ac:dyDescent="0.2">
      <c r="A68" s="17"/>
      <c r="B68" s="17"/>
      <c r="C68" s="17"/>
      <c r="D68" s="17"/>
      <c r="E68" s="17"/>
      <c r="F68" s="17"/>
      <c r="G68" s="17"/>
      <c r="H68" s="17"/>
    </row>
    <row r="69" spans="1:8" x14ac:dyDescent="0.2">
      <c r="A69" s="17"/>
      <c r="B69" s="17"/>
      <c r="C69" s="17"/>
      <c r="D69" s="17"/>
      <c r="E69" s="17"/>
      <c r="F69" s="17"/>
      <c r="G69" s="17"/>
      <c r="H69" s="17"/>
    </row>
    <row r="70" spans="1:8" x14ac:dyDescent="0.2">
      <c r="A70" s="111" t="s">
        <v>56</v>
      </c>
      <c r="B70" s="112"/>
      <c r="C70" s="17"/>
      <c r="D70" s="17"/>
      <c r="E70" s="17"/>
      <c r="F70" s="17"/>
      <c r="G70" s="17"/>
      <c r="H70" s="17"/>
    </row>
    <row r="71" spans="1:8" x14ac:dyDescent="0.2">
      <c r="A71" s="113" t="s">
        <v>57</v>
      </c>
      <c r="B71" s="114"/>
      <c r="C71" s="115"/>
      <c r="D71" s="1"/>
      <c r="E71" s="1"/>
      <c r="F71" s="1"/>
      <c r="G71" s="17"/>
      <c r="H71" s="17"/>
    </row>
    <row r="72" spans="1:8" x14ac:dyDescent="0.2">
      <c r="A72" s="113" t="s">
        <v>58</v>
      </c>
      <c r="B72" s="114"/>
      <c r="C72" s="115"/>
      <c r="D72" s="1"/>
      <c r="E72" s="1"/>
      <c r="F72" s="1"/>
      <c r="G72" s="17"/>
      <c r="H72" s="17"/>
    </row>
  </sheetData>
  <mergeCells count="45">
    <mergeCell ref="A65:B65"/>
    <mergeCell ref="C65:F65"/>
    <mergeCell ref="G52:H52"/>
    <mergeCell ref="G53:H53"/>
    <mergeCell ref="G54:H54"/>
    <mergeCell ref="G55:H55"/>
    <mergeCell ref="G60:H61"/>
    <mergeCell ref="G62:H62"/>
    <mergeCell ref="G45:H45"/>
    <mergeCell ref="G46:H46"/>
    <mergeCell ref="G47:H47"/>
    <mergeCell ref="G48:H48"/>
    <mergeCell ref="G49:H49"/>
    <mergeCell ref="G50:H50"/>
    <mergeCell ref="A36:H36"/>
    <mergeCell ref="G38:H38"/>
    <mergeCell ref="G39:H39"/>
    <mergeCell ref="G40:H40"/>
    <mergeCell ref="G42:H42"/>
    <mergeCell ref="G43:H43"/>
    <mergeCell ref="A20:H20"/>
    <mergeCell ref="A21:B21"/>
    <mergeCell ref="C21:C22"/>
    <mergeCell ref="D21:E21"/>
    <mergeCell ref="A25:H25"/>
    <mergeCell ref="A32:H32"/>
    <mergeCell ref="A14:H14"/>
    <mergeCell ref="A15:H15"/>
    <mergeCell ref="A16:A17"/>
    <mergeCell ref="B16:B17"/>
    <mergeCell ref="C16:C17"/>
    <mergeCell ref="D16:E16"/>
    <mergeCell ref="F16:H16"/>
    <mergeCell ref="A6:B6"/>
    <mergeCell ref="C6:D6"/>
    <mergeCell ref="B8:C8"/>
    <mergeCell ref="E8:F8"/>
    <mergeCell ref="B10:H10"/>
    <mergeCell ref="B12:H12"/>
    <mergeCell ref="A2:E2"/>
    <mergeCell ref="A4:B4"/>
    <mergeCell ref="C4:D4"/>
    <mergeCell ref="A5:B5"/>
    <mergeCell ref="C5:D5"/>
    <mergeCell ref="F5:H5"/>
  </mergeCells>
  <dataValidations count="1">
    <dataValidation allowBlank="1" showDropDown="1" showInputMessage="1" showErrorMessage="1" sqref="A24" xr:uid="{55973BEE-0D75-7944-809D-2A7E1BF119E1}"/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Check Box 6">
              <controlPr locked="0" defaultSize="0" autoFill="0" autoLine="0" autoPict="0">
                <anchor moveWithCells="1">
                  <from>
                    <xdr:col>6</xdr:col>
                    <xdr:colOff>12700</xdr:colOff>
                    <xdr:row>45</xdr:row>
                    <xdr:rowOff>0</xdr:rowOff>
                  </from>
                  <to>
                    <xdr:col>6</xdr:col>
                    <xdr:colOff>241300</xdr:colOff>
                    <xdr:row>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4" name="Check Box 7">
              <controlPr locked="0" defaultSize="0" autoFill="0" autoLine="0" autoPict="0">
                <anchor moveWithCells="1">
                  <from>
                    <xdr:col>6</xdr:col>
                    <xdr:colOff>12700</xdr:colOff>
                    <xdr:row>52</xdr:row>
                    <xdr:rowOff>0</xdr:rowOff>
                  </from>
                  <to>
                    <xdr:col>6</xdr:col>
                    <xdr:colOff>266700</xdr:colOff>
                    <xdr:row>53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FC1F-028C-B64C-B4D7-39199B6A112A}">
  <dimension ref="A1:P65"/>
  <sheetViews>
    <sheetView tabSelected="1" workbookViewId="0">
      <selection activeCell="J46" sqref="J46"/>
    </sheetView>
  </sheetViews>
  <sheetFormatPr baseColWidth="10" defaultColWidth="11.5" defaultRowHeight="15" x14ac:dyDescent="0.2"/>
  <cols>
    <col min="1" max="1" width="24.33203125" style="1" customWidth="1"/>
    <col min="2" max="8" width="17.1640625" style="1" customWidth="1"/>
    <col min="9" max="15" width="11.5" style="1"/>
    <col min="16" max="16" width="10.83203125" style="1" bestFit="1" customWidth="1"/>
    <col min="17" max="16384" width="11.5" style="1"/>
  </cols>
  <sheetData>
    <row r="1" spans="1:10" ht="92" customHeight="1" x14ac:dyDescent="0.2"/>
    <row r="2" spans="1:10" ht="20" thickBot="1" x14ac:dyDescent="0.3">
      <c r="A2" s="2" t="s">
        <v>59</v>
      </c>
      <c r="B2" s="2"/>
      <c r="C2" s="2"/>
      <c r="D2" s="2"/>
      <c r="E2" s="2"/>
      <c r="F2" s="3"/>
      <c r="G2" s="3"/>
      <c r="H2" s="118" t="s">
        <v>1</v>
      </c>
    </row>
    <row r="4" spans="1:10" ht="19" x14ac:dyDescent="0.2">
      <c r="A4" s="5" t="s">
        <v>2</v>
      </c>
      <c r="B4" s="5"/>
      <c r="C4" s="6"/>
      <c r="D4" s="6"/>
      <c r="E4" s="7" t="s">
        <v>3</v>
      </c>
      <c r="F4" s="119"/>
      <c r="G4" s="9" t="s">
        <v>4</v>
      </c>
      <c r="H4" s="119"/>
    </row>
    <row r="5" spans="1:10" ht="19" x14ac:dyDescent="0.2">
      <c r="A5" s="5" t="s">
        <v>5</v>
      </c>
      <c r="B5" s="5"/>
      <c r="C5" s="120"/>
      <c r="D5" s="120"/>
      <c r="E5" s="7" t="s">
        <v>6</v>
      </c>
      <c r="F5" s="121"/>
      <c r="G5" s="121"/>
      <c r="H5" s="121"/>
    </row>
    <row r="6" spans="1:10" ht="19" x14ac:dyDescent="0.25">
      <c r="A6" s="122" t="s">
        <v>60</v>
      </c>
      <c r="B6" s="122"/>
      <c r="C6" s="123"/>
      <c r="D6" s="124"/>
      <c r="E6" s="7" t="s">
        <v>7</v>
      </c>
      <c r="F6" s="125"/>
      <c r="G6" s="14"/>
      <c r="H6" s="14"/>
    </row>
    <row r="7" spans="1:10" ht="7.5" customHeight="1" x14ac:dyDescent="0.2">
      <c r="A7" s="15"/>
      <c r="B7" s="16"/>
      <c r="C7" s="17"/>
      <c r="D7" s="18"/>
    </row>
    <row r="8" spans="1:10" ht="17" x14ac:dyDescent="0.2">
      <c r="A8" s="19" t="s">
        <v>8</v>
      </c>
      <c r="B8" s="126"/>
      <c r="C8" s="126"/>
      <c r="D8" s="127" t="s">
        <v>61</v>
      </c>
      <c r="E8" s="128"/>
      <c r="F8" s="128"/>
      <c r="G8" s="129" t="s">
        <v>54</v>
      </c>
      <c r="H8" s="49"/>
      <c r="I8" s="17"/>
    </row>
    <row r="9" spans="1:10" ht="7.5" customHeight="1" x14ac:dyDescent="0.2">
      <c r="A9" s="24"/>
      <c r="B9" s="25"/>
      <c r="C9" s="16"/>
      <c r="D9" s="26"/>
      <c r="E9" s="27"/>
      <c r="F9" s="27"/>
      <c r="G9" s="27"/>
      <c r="H9" s="27"/>
      <c r="I9" s="17"/>
    </row>
    <row r="10" spans="1:10" ht="46.5" customHeight="1" x14ac:dyDescent="0.2">
      <c r="A10" s="28" t="s">
        <v>62</v>
      </c>
      <c r="B10" s="29"/>
      <c r="C10" s="130"/>
      <c r="D10" s="130"/>
      <c r="E10" s="130"/>
      <c r="F10" s="130"/>
      <c r="G10" s="130"/>
      <c r="H10" s="130"/>
      <c r="I10" s="17"/>
    </row>
    <row r="11" spans="1:10" ht="7.5" customHeight="1" x14ac:dyDescent="0.2">
      <c r="A11" s="30"/>
      <c r="B11" s="50"/>
      <c r="C11" s="50"/>
      <c r="D11" s="50"/>
      <c r="E11" s="50"/>
      <c r="F11" s="50"/>
      <c r="G11" s="50"/>
      <c r="H11" s="50"/>
    </row>
    <row r="12" spans="1:10" ht="19" x14ac:dyDescent="0.2">
      <c r="A12" s="131" t="s">
        <v>63</v>
      </c>
      <c r="B12" s="131"/>
      <c r="C12" s="131"/>
      <c r="D12" s="131"/>
      <c r="E12" s="131"/>
      <c r="F12" s="131"/>
      <c r="G12" s="132"/>
      <c r="H12" s="131"/>
    </row>
    <row r="13" spans="1:10" ht="34" x14ac:dyDescent="0.2">
      <c r="A13" s="62" t="s">
        <v>64</v>
      </c>
      <c r="B13" s="62" t="s">
        <v>65</v>
      </c>
      <c r="C13" s="133" t="s">
        <v>66</v>
      </c>
      <c r="D13" s="62" t="s">
        <v>67</v>
      </c>
      <c r="E13" s="62" t="s">
        <v>68</v>
      </c>
      <c r="F13" s="62" t="s">
        <v>69</v>
      </c>
      <c r="G13" s="134"/>
      <c r="H13" s="62" t="s">
        <v>70</v>
      </c>
      <c r="I13" s="135"/>
      <c r="J13" s="136"/>
    </row>
    <row r="14" spans="1:10" ht="16" x14ac:dyDescent="0.2">
      <c r="A14" s="57"/>
      <c r="B14" s="65"/>
      <c r="C14" s="65"/>
      <c r="D14" s="65"/>
      <c r="E14" s="65"/>
      <c r="F14" s="65"/>
      <c r="G14" s="59"/>
      <c r="H14" s="116"/>
      <c r="I14" s="137"/>
    </row>
    <row r="15" spans="1:10" ht="7.5" customHeight="1" x14ac:dyDescent="0.2">
      <c r="A15" s="58"/>
      <c r="B15" s="58"/>
      <c r="C15" s="58"/>
      <c r="D15" s="58"/>
      <c r="E15" s="58"/>
      <c r="F15" s="58"/>
      <c r="G15" s="59"/>
      <c r="H15" s="25"/>
      <c r="I15" s="138"/>
    </row>
    <row r="16" spans="1:10" ht="19" x14ac:dyDescent="0.2">
      <c r="A16" s="60" t="s">
        <v>23</v>
      </c>
      <c r="B16" s="60"/>
      <c r="C16" s="60"/>
      <c r="D16" s="60"/>
      <c r="E16" s="60"/>
      <c r="F16" s="60"/>
      <c r="G16" s="60"/>
      <c r="H16" s="60"/>
    </row>
    <row r="17" spans="1:16" ht="17" x14ac:dyDescent="0.2">
      <c r="A17" s="62"/>
      <c r="B17" s="62" t="s">
        <v>24</v>
      </c>
      <c r="C17" s="62" t="s">
        <v>25</v>
      </c>
      <c r="D17" s="62" t="s">
        <v>26</v>
      </c>
      <c r="E17" s="62" t="s">
        <v>27</v>
      </c>
      <c r="F17" s="62" t="s">
        <v>28</v>
      </c>
      <c r="G17" s="63" t="s">
        <v>29</v>
      </c>
      <c r="H17" s="63" t="s">
        <v>71</v>
      </c>
      <c r="I17" s="134"/>
    </row>
    <row r="18" spans="1:16" ht="17" x14ac:dyDescent="0.2">
      <c r="A18" s="64" t="s">
        <v>30</v>
      </c>
      <c r="B18" s="65" t="s">
        <v>31</v>
      </c>
      <c r="C18" s="65" t="s">
        <v>31</v>
      </c>
      <c r="D18" s="65" t="s">
        <v>31</v>
      </c>
      <c r="E18" s="65" t="s">
        <v>31</v>
      </c>
      <c r="F18" s="65" t="s">
        <v>31</v>
      </c>
      <c r="G18" s="65" t="s">
        <v>31</v>
      </c>
      <c r="H18" s="65" t="s">
        <v>31</v>
      </c>
      <c r="I18" s="58"/>
    </row>
    <row r="19" spans="1:16" ht="17" x14ac:dyDescent="0.2">
      <c r="A19" s="67" t="s">
        <v>32</v>
      </c>
      <c r="B19" s="65" t="s">
        <v>31</v>
      </c>
      <c r="C19" s="65" t="s">
        <v>31</v>
      </c>
      <c r="D19" s="65" t="s">
        <v>31</v>
      </c>
      <c r="E19" s="65" t="s">
        <v>31</v>
      </c>
      <c r="F19" s="65" t="s">
        <v>31</v>
      </c>
      <c r="G19" s="17"/>
      <c r="H19" s="17"/>
      <c r="I19" s="58"/>
    </row>
    <row r="20" spans="1:16" ht="17" x14ac:dyDescent="0.2">
      <c r="A20" s="67" t="s">
        <v>33</v>
      </c>
      <c r="B20" s="65" t="s">
        <v>31</v>
      </c>
      <c r="C20" s="65" t="s">
        <v>31</v>
      </c>
      <c r="D20" s="65" t="s">
        <v>31</v>
      </c>
      <c r="E20" s="65" t="s">
        <v>31</v>
      </c>
      <c r="F20" s="65" t="s">
        <v>31</v>
      </c>
      <c r="G20" s="17"/>
      <c r="H20" s="17"/>
      <c r="I20" s="58"/>
    </row>
    <row r="21" spans="1:16" ht="7.5" customHeight="1" x14ac:dyDescent="0.2">
      <c r="A21" s="58"/>
      <c r="B21" s="58"/>
      <c r="C21" s="68"/>
      <c r="D21" s="68"/>
      <c r="E21" s="68"/>
      <c r="F21" s="69"/>
      <c r="I21" s="139"/>
    </row>
    <row r="22" spans="1:16" ht="19" x14ac:dyDescent="0.2">
      <c r="A22" s="131" t="s">
        <v>72</v>
      </c>
      <c r="B22" s="131"/>
      <c r="C22" s="131"/>
      <c r="D22" s="131"/>
      <c r="E22" s="131"/>
      <c r="F22" s="131"/>
      <c r="G22" s="131"/>
      <c r="H22" s="131"/>
    </row>
    <row r="23" spans="1:16" ht="85" customHeight="1" x14ac:dyDescent="0.2">
      <c r="A23" s="140"/>
      <c r="B23" s="140"/>
      <c r="C23" s="140"/>
      <c r="D23" s="140"/>
      <c r="E23" s="140"/>
      <c r="F23" s="140"/>
      <c r="G23" s="140"/>
      <c r="H23" s="140"/>
    </row>
    <row r="24" spans="1:16" x14ac:dyDescent="0.2">
      <c r="I24" s="141"/>
    </row>
    <row r="25" spans="1:16" ht="19" x14ac:dyDescent="0.25">
      <c r="A25" s="70" t="s">
        <v>34</v>
      </c>
      <c r="B25" s="70"/>
      <c r="C25" s="70"/>
      <c r="D25" s="70"/>
      <c r="E25" s="70"/>
      <c r="F25" s="70"/>
      <c r="G25" s="70"/>
      <c r="H25" s="70"/>
    </row>
    <row r="26" spans="1:16" ht="37" x14ac:dyDescent="0.2">
      <c r="A26" s="72" t="s">
        <v>73</v>
      </c>
      <c r="B26" s="71" t="s">
        <v>35</v>
      </c>
      <c r="C26" s="72" t="s">
        <v>36</v>
      </c>
      <c r="D26" s="133" t="s">
        <v>74</v>
      </c>
      <c r="E26" s="73" t="s">
        <v>37</v>
      </c>
      <c r="F26" s="117" t="s">
        <v>75</v>
      </c>
      <c r="G26" s="117"/>
      <c r="H26" s="82" t="s">
        <v>76</v>
      </c>
      <c r="I26" s="17"/>
    </row>
    <row r="27" spans="1:16" ht="16" x14ac:dyDescent="0.2">
      <c r="A27" s="57"/>
      <c r="B27" s="142"/>
      <c r="C27" s="75"/>
      <c r="D27" s="143"/>
      <c r="E27" s="144"/>
      <c r="F27" s="145"/>
      <c r="G27" s="145"/>
      <c r="H27" s="57"/>
      <c r="I27" s="17"/>
    </row>
    <row r="28" spans="1:16" ht="7.5" customHeight="1" x14ac:dyDescent="0.2">
      <c r="A28" s="77"/>
      <c r="B28" s="78"/>
      <c r="C28" s="78"/>
      <c r="D28" s="18"/>
      <c r="E28" s="54"/>
      <c r="F28" s="79"/>
      <c r="G28" s="24"/>
      <c r="H28" s="18"/>
      <c r="P28" s="146"/>
    </row>
    <row r="29" spans="1:16" ht="19" x14ac:dyDescent="0.25">
      <c r="A29" s="80" t="s">
        <v>38</v>
      </c>
      <c r="B29" s="80"/>
      <c r="C29" s="80"/>
      <c r="D29" s="80"/>
      <c r="E29" s="80"/>
      <c r="F29" s="80"/>
      <c r="G29" s="80"/>
      <c r="H29" s="80"/>
      <c r="L29" s="147"/>
      <c r="M29" s="147"/>
      <c r="N29" s="147"/>
      <c r="P29" s="148"/>
    </row>
    <row r="30" spans="1:16" ht="34" x14ac:dyDescent="0.2">
      <c r="A30" s="81" t="s">
        <v>39</v>
      </c>
      <c r="B30" s="82" t="s">
        <v>24</v>
      </c>
      <c r="C30" s="82" t="s">
        <v>40</v>
      </c>
      <c r="D30" s="82" t="s">
        <v>41</v>
      </c>
      <c r="E30" s="82" t="s">
        <v>42</v>
      </c>
      <c r="F30" s="149"/>
      <c r="G30" s="26"/>
      <c r="H30" s="17"/>
      <c r="M30" s="17"/>
    </row>
    <row r="31" spans="1:16" ht="16" x14ac:dyDescent="0.2">
      <c r="A31" s="150"/>
      <c r="B31" s="151"/>
      <c r="C31" s="151"/>
      <c r="D31" s="151"/>
      <c r="E31" s="151"/>
      <c r="F31" s="85"/>
      <c r="G31" s="135"/>
      <c r="H31" s="135"/>
      <c r="I31" s="141"/>
      <c r="M31" s="17"/>
    </row>
    <row r="32" spans="1:16" ht="16" x14ac:dyDescent="0.2">
      <c r="A32" s="150"/>
      <c r="B32" s="151"/>
      <c r="C32" s="151"/>
      <c r="D32" s="151"/>
      <c r="E32" s="151"/>
      <c r="F32" s="85"/>
      <c r="G32" s="152"/>
      <c r="H32" s="152"/>
      <c r="I32" s="141"/>
      <c r="L32" s="26"/>
      <c r="M32" s="25"/>
      <c r="N32" s="153"/>
      <c r="O32" s="154"/>
    </row>
    <row r="33" spans="1:15" ht="16" x14ac:dyDescent="0.2">
      <c r="A33" s="150" t="str">
        <f>IF(ISBLANK('[1]Sensor Specification'!A40),"",'[1]Sensor Specification'!A40)</f>
        <v/>
      </c>
      <c r="B33" s="151" t="str">
        <f>IF(ISNUMBER('[1]Sensor Specification'!B40),'[1]Sensor Specification'!B40,"")</f>
        <v/>
      </c>
      <c r="C33" s="151" t="str">
        <f>IF(ISNUMBER('[1]Sensor Specification'!C40),'[1]Sensor Specification'!C40+'[1]Sensor Specification'!$B$71,"")</f>
        <v/>
      </c>
      <c r="D33" s="151" t="str">
        <f>IF(ISNUMBER('[1]Sensor Specification'!D40),'[1]Sensor Specification'!D40+'[1]Sensor Specification'!$B$72,"")</f>
        <v/>
      </c>
      <c r="E33" s="151" t="str">
        <f t="shared" ref="E32:E55" si="0">IF(ISNUMBER(C33),C33-C32,"")</f>
        <v/>
      </c>
      <c r="F33" s="85"/>
      <c r="G33" s="155"/>
      <c r="H33" s="155"/>
      <c r="I33" s="141"/>
      <c r="L33" s="156"/>
      <c r="M33" s="26"/>
    </row>
    <row r="34" spans="1:15" ht="16" x14ac:dyDescent="0.2">
      <c r="A34" s="150" t="str">
        <f>IF(ISBLANK('[1]Sensor Specification'!A41),"",'[1]Sensor Specification'!A41)</f>
        <v/>
      </c>
      <c r="B34" s="151" t="str">
        <f>IF(ISNUMBER('[1]Sensor Specification'!B41),'[1]Sensor Specification'!B41,"")</f>
        <v/>
      </c>
      <c r="C34" s="151" t="str">
        <f>IF(ISNUMBER('[1]Sensor Specification'!C41),'[1]Sensor Specification'!C41+'[1]Sensor Specification'!$B$71,"")</f>
        <v/>
      </c>
      <c r="D34" s="151" t="str">
        <f>IF(ISNUMBER('[1]Sensor Specification'!D41),'[1]Sensor Specification'!D41+'[1]Sensor Specification'!$B$72,"")</f>
        <v/>
      </c>
      <c r="E34" s="151" t="str">
        <f t="shared" si="0"/>
        <v/>
      </c>
      <c r="F34" s="85"/>
      <c r="G34" s="26"/>
      <c r="H34" s="26"/>
      <c r="I34" s="141"/>
      <c r="L34" s="156"/>
      <c r="M34" s="24"/>
    </row>
    <row r="35" spans="1:15" ht="16" x14ac:dyDescent="0.2">
      <c r="A35" s="150" t="str">
        <f>IF(ISBLANK('[1]Sensor Specification'!A42),"",'[1]Sensor Specification'!A42)</f>
        <v/>
      </c>
      <c r="B35" s="151" t="str">
        <f>IF(ISNUMBER('[1]Sensor Specification'!B42),'[1]Sensor Specification'!B42,"")</f>
        <v/>
      </c>
      <c r="C35" s="151" t="str">
        <f>IF(ISNUMBER('[1]Sensor Specification'!C42),'[1]Sensor Specification'!C42+'[1]Sensor Specification'!$B$71,"")</f>
        <v/>
      </c>
      <c r="D35" s="151" t="str">
        <f>IF(ISNUMBER('[1]Sensor Specification'!D42),'[1]Sensor Specification'!D42+'[1]Sensor Specification'!$B$72,"")</f>
        <v/>
      </c>
      <c r="E35" s="151" t="str">
        <f t="shared" si="0"/>
        <v/>
      </c>
      <c r="F35" s="85"/>
      <c r="G35" s="157"/>
      <c r="H35" s="157"/>
      <c r="I35" s="141"/>
      <c r="L35" s="78"/>
      <c r="M35" s="18"/>
      <c r="N35" s="24"/>
      <c r="O35" s="79"/>
    </row>
    <row r="36" spans="1:15" ht="16" x14ac:dyDescent="0.2">
      <c r="A36" s="150" t="str">
        <f>IF(ISBLANK('[1]Sensor Specification'!A43),"",'[1]Sensor Specification'!A43)</f>
        <v/>
      </c>
      <c r="B36" s="151" t="str">
        <f>IF(ISNUMBER('[1]Sensor Specification'!B43),'[1]Sensor Specification'!B43,"")</f>
        <v/>
      </c>
      <c r="C36" s="151" t="str">
        <f>IF(ISNUMBER('[1]Sensor Specification'!C43),'[1]Sensor Specification'!C43+'[1]Sensor Specification'!$B$71,"")</f>
        <v/>
      </c>
      <c r="D36" s="151" t="str">
        <f>IF(ISNUMBER('[1]Sensor Specification'!D43),'[1]Sensor Specification'!D43+'[1]Sensor Specification'!$B$72,"")</f>
        <v/>
      </c>
      <c r="E36" s="151" t="str">
        <f t="shared" si="0"/>
        <v/>
      </c>
      <c r="F36" s="85"/>
      <c r="G36" s="155"/>
      <c r="H36" s="155"/>
      <c r="I36" s="141"/>
      <c r="L36" s="17"/>
      <c r="M36" s="17"/>
    </row>
    <row r="37" spans="1:15" ht="16" x14ac:dyDescent="0.2">
      <c r="A37" s="150" t="str">
        <f>IF(ISBLANK('[1]Sensor Specification'!A44),"",'[1]Sensor Specification'!A44)</f>
        <v/>
      </c>
      <c r="B37" s="151" t="str">
        <f>IF(ISNUMBER('[1]Sensor Specification'!B44),'[1]Sensor Specification'!B44,"")</f>
        <v/>
      </c>
      <c r="C37" s="151" t="str">
        <f>IF(ISNUMBER('[1]Sensor Specification'!C44),'[1]Sensor Specification'!C44+'[1]Sensor Specification'!$B$71,"")</f>
        <v/>
      </c>
      <c r="D37" s="151" t="str">
        <f>IF(ISNUMBER('[1]Sensor Specification'!D44),'[1]Sensor Specification'!D44+'[1]Sensor Specification'!$B$72,"")</f>
        <v/>
      </c>
      <c r="E37" s="151" t="str">
        <f t="shared" si="0"/>
        <v/>
      </c>
      <c r="F37" s="85"/>
      <c r="I37" s="141"/>
      <c r="L37" s="17"/>
      <c r="M37" s="17"/>
    </row>
    <row r="38" spans="1:15" ht="16" x14ac:dyDescent="0.2">
      <c r="A38" s="150" t="str">
        <f>IF(ISBLANK('[1]Sensor Specification'!A45),"",'[1]Sensor Specification'!A45)</f>
        <v/>
      </c>
      <c r="B38" s="151" t="str">
        <f>IF(ISNUMBER('[1]Sensor Specification'!B45),'[1]Sensor Specification'!B45,"")</f>
        <v/>
      </c>
      <c r="C38" s="151" t="str">
        <f>IF(ISNUMBER('[1]Sensor Specification'!C45),'[1]Sensor Specification'!C45+'[1]Sensor Specification'!$B$71,"")</f>
        <v/>
      </c>
      <c r="D38" s="151" t="str">
        <f>IF(ISNUMBER('[1]Sensor Specification'!D45),'[1]Sensor Specification'!D45+'[1]Sensor Specification'!$B$72,"")</f>
        <v/>
      </c>
      <c r="E38" s="151" t="str">
        <f t="shared" si="0"/>
        <v/>
      </c>
      <c r="F38" s="85"/>
      <c r="G38" s="158"/>
      <c r="H38" s="158"/>
      <c r="I38" s="141"/>
      <c r="L38" s="17"/>
      <c r="M38" s="17"/>
    </row>
    <row r="39" spans="1:15" ht="16" x14ac:dyDescent="0.2">
      <c r="A39" s="150" t="str">
        <f>IF(ISBLANK('[1]Sensor Specification'!A46),"",'[1]Sensor Specification'!A46)</f>
        <v/>
      </c>
      <c r="B39" s="151" t="str">
        <f>IF(ISNUMBER('[1]Sensor Specification'!B46),'[1]Sensor Specification'!B46,"")</f>
        <v/>
      </c>
      <c r="C39" s="151" t="str">
        <f>IF(ISNUMBER('[1]Sensor Specification'!C46),'[1]Sensor Specification'!C46+'[1]Sensor Specification'!$B$71,"")</f>
        <v/>
      </c>
      <c r="D39" s="151" t="str">
        <f>IF(ISNUMBER('[1]Sensor Specification'!D46),'[1]Sensor Specification'!D46+'[1]Sensor Specification'!$B$72,"")</f>
        <v/>
      </c>
      <c r="E39" s="151" t="str">
        <f t="shared" si="0"/>
        <v/>
      </c>
      <c r="F39" s="85"/>
      <c r="G39" s="159"/>
      <c r="H39" s="159"/>
      <c r="L39" s="17"/>
      <c r="M39" s="17"/>
    </row>
    <row r="40" spans="1:15" ht="16" x14ac:dyDescent="0.2">
      <c r="A40" s="150" t="str">
        <f>IF(ISBLANK('[1]Sensor Specification'!A47),"",'[1]Sensor Specification'!A47)</f>
        <v/>
      </c>
      <c r="B40" s="151" t="str">
        <f>IF(ISNUMBER('[1]Sensor Specification'!B47),'[1]Sensor Specification'!B47,"")</f>
        <v/>
      </c>
      <c r="C40" s="151" t="str">
        <f>IF(ISNUMBER('[1]Sensor Specification'!C47),'[1]Sensor Specification'!C47+'[1]Sensor Specification'!$B$71,"")</f>
        <v/>
      </c>
      <c r="D40" s="151" t="str">
        <f>IF(ISNUMBER('[1]Sensor Specification'!D47),'[1]Sensor Specification'!D47+'[1]Sensor Specification'!$B$72,"")</f>
        <v/>
      </c>
      <c r="E40" s="151" t="str">
        <f t="shared" si="0"/>
        <v/>
      </c>
      <c r="F40" s="85"/>
      <c r="G40" s="17"/>
      <c r="H40" s="17"/>
      <c r="L40" s="17"/>
      <c r="M40" s="17"/>
    </row>
    <row r="41" spans="1:15" ht="16" x14ac:dyDescent="0.2">
      <c r="A41" s="150" t="str">
        <f>IF(ISBLANK('[1]Sensor Specification'!A48),"",'[1]Sensor Specification'!A48)</f>
        <v/>
      </c>
      <c r="B41" s="151" t="str">
        <f>IF(ISNUMBER('[1]Sensor Specification'!B48),'[1]Sensor Specification'!B48,"")</f>
        <v/>
      </c>
      <c r="C41" s="151" t="str">
        <f>IF(ISNUMBER('[1]Sensor Specification'!C48),'[1]Sensor Specification'!C48+'[1]Sensor Specification'!$B$71,"")</f>
        <v/>
      </c>
      <c r="D41" s="151" t="str">
        <f>IF(ISNUMBER('[1]Sensor Specification'!D48),'[1]Sensor Specification'!D48+'[1]Sensor Specification'!$B$72,"")</f>
        <v/>
      </c>
      <c r="E41" s="151" t="str">
        <f t="shared" si="0"/>
        <v/>
      </c>
      <c r="F41" s="85"/>
      <c r="G41" s="159"/>
      <c r="H41" s="159"/>
      <c r="L41" s="17"/>
      <c r="M41" s="17"/>
    </row>
    <row r="42" spans="1:15" ht="16" x14ac:dyDescent="0.2">
      <c r="A42" s="150" t="str">
        <f>IF(ISBLANK('[1]Sensor Specification'!A49),"",'[1]Sensor Specification'!A49)</f>
        <v/>
      </c>
      <c r="B42" s="151" t="str">
        <f>IF(ISNUMBER('[1]Sensor Specification'!B49),'[1]Sensor Specification'!B49,"")</f>
        <v/>
      </c>
      <c r="C42" s="151" t="str">
        <f>IF(ISNUMBER('[1]Sensor Specification'!C49),'[1]Sensor Specification'!C49+'[1]Sensor Specification'!$B$71,"")</f>
        <v/>
      </c>
      <c r="D42" s="151" t="str">
        <f>IF(ISNUMBER('[1]Sensor Specification'!D49),'[1]Sensor Specification'!D49+'[1]Sensor Specification'!$B$72,"")</f>
        <v/>
      </c>
      <c r="E42" s="151" t="str">
        <f t="shared" si="0"/>
        <v/>
      </c>
      <c r="F42" s="85"/>
      <c r="G42" s="160"/>
      <c r="H42" s="160"/>
      <c r="L42" s="17"/>
      <c r="M42" s="17"/>
    </row>
    <row r="43" spans="1:15" ht="16" x14ac:dyDescent="0.2">
      <c r="A43" s="150" t="str">
        <f>IF(ISBLANK('[1]Sensor Specification'!A50),"",'[1]Sensor Specification'!A50)</f>
        <v/>
      </c>
      <c r="B43" s="151" t="str">
        <f>IF(ISNUMBER('[1]Sensor Specification'!B50),'[1]Sensor Specification'!B50,"")</f>
        <v/>
      </c>
      <c r="C43" s="151" t="str">
        <f>IF(ISNUMBER('[1]Sensor Specification'!C50),'[1]Sensor Specification'!C50+'[1]Sensor Specification'!$B$71,"")</f>
        <v/>
      </c>
      <c r="D43" s="151" t="str">
        <f>IF(ISNUMBER('[1]Sensor Specification'!D50),'[1]Sensor Specification'!D50+'[1]Sensor Specification'!$B$72,"")</f>
        <v/>
      </c>
      <c r="E43" s="151" t="str">
        <f t="shared" si="0"/>
        <v/>
      </c>
      <c r="F43" s="85"/>
      <c r="G43" s="159"/>
      <c r="H43" s="159"/>
      <c r="L43" s="17"/>
      <c r="M43" s="17"/>
    </row>
    <row r="44" spans="1:15" ht="16" x14ac:dyDescent="0.2">
      <c r="A44" s="150" t="str">
        <f>IF(ISBLANK('[1]Sensor Specification'!A51),"",'[1]Sensor Specification'!A51)</f>
        <v/>
      </c>
      <c r="B44" s="151" t="str">
        <f>IF(ISNUMBER('[1]Sensor Specification'!B51),'[1]Sensor Specification'!B51,"")</f>
        <v/>
      </c>
      <c r="C44" s="151" t="str">
        <f>IF(ISNUMBER('[1]Sensor Specification'!C51),'[1]Sensor Specification'!C51+'[1]Sensor Specification'!$B$71,"")</f>
        <v/>
      </c>
      <c r="D44" s="151" t="str">
        <f>IF(ISNUMBER('[1]Sensor Specification'!D51),'[1]Sensor Specification'!D51+'[1]Sensor Specification'!$B$72,"")</f>
        <v/>
      </c>
      <c r="E44" s="151" t="str">
        <f t="shared" si="0"/>
        <v/>
      </c>
      <c r="F44" s="85"/>
      <c r="G44" s="17"/>
      <c r="H44" s="17"/>
      <c r="J44" s="17"/>
      <c r="K44" s="17"/>
      <c r="L44" s="17"/>
      <c r="M44" s="17"/>
    </row>
    <row r="45" spans="1:15" ht="16" x14ac:dyDescent="0.2">
      <c r="A45" s="150" t="str">
        <f>IF(ISBLANK('[1]Sensor Specification'!A52),"",'[1]Sensor Specification'!A52)</f>
        <v/>
      </c>
      <c r="B45" s="151" t="str">
        <f>IF(ISNUMBER('[1]Sensor Specification'!B52),'[1]Sensor Specification'!B52,"")</f>
        <v/>
      </c>
      <c r="C45" s="151" t="str">
        <f>IF(ISNUMBER('[1]Sensor Specification'!C52),'[1]Sensor Specification'!C52+'[1]Sensor Specification'!$B$71,"")</f>
        <v/>
      </c>
      <c r="D45" s="151" t="str">
        <f>IF(ISNUMBER('[1]Sensor Specification'!D52),'[1]Sensor Specification'!D52+'[1]Sensor Specification'!$B$72,"")</f>
        <v/>
      </c>
      <c r="E45" s="151" t="str">
        <f t="shared" si="0"/>
        <v/>
      </c>
      <c r="F45" s="85"/>
      <c r="G45" s="152"/>
      <c r="H45" s="152"/>
      <c r="J45" s="17"/>
      <c r="K45" s="17"/>
    </row>
    <row r="46" spans="1:15" ht="16" x14ac:dyDescent="0.2">
      <c r="A46" s="150" t="str">
        <f>IF(ISBLANK('[1]Sensor Specification'!A53),"",'[1]Sensor Specification'!A53)</f>
        <v/>
      </c>
      <c r="B46" s="151" t="str">
        <f>IF(ISNUMBER('[1]Sensor Specification'!B53),'[1]Sensor Specification'!B53,"")</f>
        <v/>
      </c>
      <c r="C46" s="151" t="str">
        <f>IF(ISNUMBER('[1]Sensor Specification'!C53),'[1]Sensor Specification'!C53+'[1]Sensor Specification'!$B$71,"")</f>
        <v/>
      </c>
      <c r="D46" s="151" t="str">
        <f>IF(ISNUMBER('[1]Sensor Specification'!D53),'[1]Sensor Specification'!D53+'[1]Sensor Specification'!$B$72,"")</f>
        <v/>
      </c>
      <c r="E46" s="151" t="str">
        <f t="shared" si="0"/>
        <v/>
      </c>
      <c r="F46" s="85"/>
      <c r="G46" s="18"/>
      <c r="H46" s="18"/>
    </row>
    <row r="47" spans="1:15" ht="16" x14ac:dyDescent="0.2">
      <c r="A47" s="150" t="str">
        <f>IF(ISBLANK('[1]Sensor Specification'!A54),"",'[1]Sensor Specification'!A54)</f>
        <v/>
      </c>
      <c r="B47" s="151" t="str">
        <f>IF(ISNUMBER('[1]Sensor Specification'!B54),'[1]Sensor Specification'!B54,"")</f>
        <v/>
      </c>
      <c r="C47" s="151" t="str">
        <f>IF(ISNUMBER('[1]Sensor Specification'!C54),'[1]Sensor Specification'!C54+'[1]Sensor Specification'!$B$71,"")</f>
        <v/>
      </c>
      <c r="D47" s="151" t="str">
        <f>IF(ISNUMBER('[1]Sensor Specification'!D54),'[1]Sensor Specification'!D54+'[1]Sensor Specification'!$B$72,"")</f>
        <v/>
      </c>
      <c r="E47" s="151" t="str">
        <f t="shared" si="0"/>
        <v/>
      </c>
      <c r="F47" s="85"/>
      <c r="G47" s="17"/>
      <c r="H47" s="17"/>
    </row>
    <row r="48" spans="1:15" ht="16" x14ac:dyDescent="0.2">
      <c r="A48" s="150" t="str">
        <f>IF(ISBLANK('[1]Sensor Specification'!A55),"",'[1]Sensor Specification'!A55)</f>
        <v/>
      </c>
      <c r="B48" s="151" t="str">
        <f>IF(ISNUMBER('[1]Sensor Specification'!B55),'[1]Sensor Specification'!B55,"")</f>
        <v/>
      </c>
      <c r="C48" s="151" t="str">
        <f>IF(ISNUMBER('[1]Sensor Specification'!C55),'[1]Sensor Specification'!C55+'[1]Sensor Specification'!$B$71,"")</f>
        <v/>
      </c>
      <c r="D48" s="151" t="str">
        <f>IF(ISNUMBER('[1]Sensor Specification'!D55),'[1]Sensor Specification'!D55+'[1]Sensor Specification'!$B$72,"")</f>
        <v/>
      </c>
      <c r="E48" s="151" t="str">
        <f t="shared" si="0"/>
        <v/>
      </c>
      <c r="F48" s="85"/>
      <c r="G48" s="155"/>
      <c r="H48" s="155"/>
    </row>
    <row r="49" spans="1:8" ht="16" x14ac:dyDescent="0.2">
      <c r="A49" s="150" t="str">
        <f>IF(ISBLANK('[1]Sensor Specification'!A56),"",'[1]Sensor Specification'!A56)</f>
        <v/>
      </c>
      <c r="B49" s="151" t="str">
        <f>IF(ISNUMBER('[1]Sensor Specification'!B56),'[1]Sensor Specification'!B56,"")</f>
        <v/>
      </c>
      <c r="C49" s="151" t="str">
        <f>IF(ISNUMBER('[1]Sensor Specification'!C56),'[1]Sensor Specification'!C56+'[1]Sensor Specification'!$B$71,"")</f>
        <v/>
      </c>
      <c r="D49" s="151" t="str">
        <f>IF(ISNUMBER('[1]Sensor Specification'!D56),'[1]Sensor Specification'!D56+'[1]Sensor Specification'!$B$72,"")</f>
        <v/>
      </c>
      <c r="E49" s="151" t="str">
        <f t="shared" si="0"/>
        <v/>
      </c>
      <c r="F49" s="85"/>
      <c r="G49" s="24"/>
      <c r="H49" s="17"/>
    </row>
    <row r="50" spans="1:8" ht="16" x14ac:dyDescent="0.2">
      <c r="A50" s="150" t="str">
        <f>IF(ISBLANK('[1]Sensor Specification'!A57),"",'[1]Sensor Specification'!A57)</f>
        <v/>
      </c>
      <c r="B50" s="151" t="str">
        <f>IF(ISNUMBER('[1]Sensor Specification'!B57),'[1]Sensor Specification'!B57,"")</f>
        <v/>
      </c>
      <c r="C50" s="151" t="str">
        <f>IF(ISNUMBER('[1]Sensor Specification'!C57),'[1]Sensor Specification'!C57+'[1]Sensor Specification'!$B$71,"")</f>
        <v/>
      </c>
      <c r="D50" s="151" t="str">
        <f>IF(ISNUMBER('[1]Sensor Specification'!D57),'[1]Sensor Specification'!D57+'[1]Sensor Specification'!$B$72,"")</f>
        <v/>
      </c>
      <c r="E50" s="151" t="str">
        <f t="shared" si="0"/>
        <v/>
      </c>
      <c r="F50" s="85"/>
      <c r="G50" s="24"/>
      <c r="H50" s="17"/>
    </row>
    <row r="51" spans="1:8" ht="16" x14ac:dyDescent="0.2">
      <c r="A51" s="150" t="str">
        <f>IF(ISBLANK('[1]Sensor Specification'!A58),"",'[1]Sensor Specification'!A58)</f>
        <v/>
      </c>
      <c r="B51" s="151" t="str">
        <f>IF(ISNUMBER('[1]Sensor Specification'!B58),'[1]Sensor Specification'!B58,"")</f>
        <v/>
      </c>
      <c r="C51" s="151" t="str">
        <f>IF(ISNUMBER('[1]Sensor Specification'!C58),'[1]Sensor Specification'!C58+'[1]Sensor Specification'!$B$71,"")</f>
        <v/>
      </c>
      <c r="D51" s="151" t="str">
        <f>IF(ISNUMBER('[1]Sensor Specification'!D58),'[1]Sensor Specification'!D58+'[1]Sensor Specification'!$B$72,"")</f>
        <v/>
      </c>
      <c r="E51" s="151" t="str">
        <f t="shared" si="0"/>
        <v/>
      </c>
      <c r="F51" s="85"/>
      <c r="G51" s="24"/>
      <c r="H51" s="17"/>
    </row>
    <row r="52" spans="1:8" ht="16" x14ac:dyDescent="0.2">
      <c r="A52" s="150" t="str">
        <f>IF(ISBLANK('[1]Sensor Specification'!A59),"",'[1]Sensor Specification'!A59)</f>
        <v/>
      </c>
      <c r="B52" s="151" t="str">
        <f>IF(ISNUMBER('[1]Sensor Specification'!B59),'[1]Sensor Specification'!B59,"")</f>
        <v/>
      </c>
      <c r="C52" s="151" t="str">
        <f>IF(ISNUMBER('[1]Sensor Specification'!C59),'[1]Sensor Specification'!C59+'[1]Sensor Specification'!$B$71,"")</f>
        <v/>
      </c>
      <c r="D52" s="151" t="str">
        <f>IF(ISNUMBER('[1]Sensor Specification'!D59),'[1]Sensor Specification'!D59+'[1]Sensor Specification'!$B$72,"")</f>
        <v/>
      </c>
      <c r="E52" s="151" t="str">
        <f t="shared" si="0"/>
        <v/>
      </c>
      <c r="F52" s="85"/>
      <c r="G52" s="24"/>
      <c r="H52" s="17"/>
    </row>
    <row r="53" spans="1:8" ht="16" x14ac:dyDescent="0.2">
      <c r="A53" s="150" t="str">
        <f>IF(ISBLANK('[1]Sensor Specification'!A60),"",'[1]Sensor Specification'!A60)</f>
        <v/>
      </c>
      <c r="B53" s="151" t="str">
        <f>IF(ISNUMBER('[1]Sensor Specification'!B60),'[1]Sensor Specification'!B60,"")</f>
        <v/>
      </c>
      <c r="C53" s="151" t="str">
        <f>IF(ISNUMBER('[1]Sensor Specification'!C60),'[1]Sensor Specification'!C60+'[1]Sensor Specification'!$B$71,"")</f>
        <v/>
      </c>
      <c r="D53" s="151" t="str">
        <f>IF(ISNUMBER('[1]Sensor Specification'!D60),'[1]Sensor Specification'!D60+'[1]Sensor Specification'!$B$72,"")</f>
        <v/>
      </c>
      <c r="E53" s="151" t="str">
        <f t="shared" si="0"/>
        <v/>
      </c>
      <c r="F53" s="85"/>
      <c r="G53" s="103" t="s">
        <v>52</v>
      </c>
      <c r="H53" s="103"/>
    </row>
    <row r="54" spans="1:8" ht="16" x14ac:dyDescent="0.2">
      <c r="A54" s="150" t="str">
        <f>IF(ISBLANK('[1]Sensor Specification'!A61),"",'[1]Sensor Specification'!A61)</f>
        <v/>
      </c>
      <c r="B54" s="151" t="str">
        <f>IF(ISNUMBER('[1]Sensor Specification'!B61),'[1]Sensor Specification'!B61,"")</f>
        <v/>
      </c>
      <c r="C54" s="151" t="str">
        <f>IF(ISNUMBER('[1]Sensor Specification'!C61),'[1]Sensor Specification'!C61+'[1]Sensor Specification'!$B$71,"")</f>
        <v/>
      </c>
      <c r="D54" s="151" t="str">
        <f>IF(ISNUMBER('[1]Sensor Specification'!D61),'[1]Sensor Specification'!D61+'[1]Sensor Specification'!$B$72,"")</f>
        <v/>
      </c>
      <c r="E54" s="151" t="str">
        <f t="shared" si="0"/>
        <v/>
      </c>
      <c r="F54" s="85"/>
      <c r="G54" s="103"/>
      <c r="H54" s="103"/>
    </row>
    <row r="55" spans="1:8" ht="16" x14ac:dyDescent="0.2">
      <c r="A55" s="150" t="str">
        <f>IF(ISBLANK('[1]Sensor Specification'!A62),"",'[1]Sensor Specification'!A62)</f>
        <v/>
      </c>
      <c r="B55" s="151" t="str">
        <f>IF(ISNUMBER('[1]Sensor Specification'!B62),'[1]Sensor Specification'!B62,"")</f>
        <v/>
      </c>
      <c r="C55" s="151" t="str">
        <f>IF(ISNUMBER('[1]Sensor Specification'!C62),'[1]Sensor Specification'!C62+'[1]Sensor Specification'!$B$71,"")</f>
        <v/>
      </c>
      <c r="D55" s="151" t="str">
        <f>IF(ISNUMBER('[1]Sensor Specification'!D62),'[1]Sensor Specification'!D62+'[1]Sensor Specification'!$B$72,"")</f>
        <v/>
      </c>
      <c r="E55" s="151" t="str">
        <f t="shared" si="0"/>
        <v/>
      </c>
      <c r="F55" s="85"/>
      <c r="G55" s="104" t="s">
        <v>53</v>
      </c>
      <c r="H55" s="104"/>
    </row>
    <row r="56" spans="1:8" ht="16" x14ac:dyDescent="0.2">
      <c r="A56" s="105"/>
      <c r="B56" s="105"/>
      <c r="C56" s="105"/>
      <c r="D56" s="105"/>
      <c r="E56" s="105"/>
      <c r="F56" s="17"/>
      <c r="G56" s="24"/>
      <c r="H56" s="17"/>
    </row>
    <row r="57" spans="1:8" ht="16" x14ac:dyDescent="0.2">
      <c r="A57" s="105"/>
      <c r="B57" s="105"/>
      <c r="C57" s="105"/>
      <c r="D57" s="105"/>
      <c r="E57" s="105"/>
      <c r="F57" s="17"/>
      <c r="G57" s="24"/>
      <c r="H57" s="17"/>
    </row>
    <row r="58" spans="1:8" ht="43.5" customHeight="1" x14ac:dyDescent="0.2">
      <c r="A58" s="106" t="s">
        <v>54</v>
      </c>
      <c r="B58" s="107"/>
      <c r="C58" s="108" t="s">
        <v>55</v>
      </c>
      <c r="D58" s="109"/>
      <c r="E58" s="109"/>
      <c r="F58" s="110"/>
      <c r="G58" s="24"/>
      <c r="H58" s="17"/>
    </row>
    <row r="59" spans="1:8" ht="16" x14ac:dyDescent="0.2">
      <c r="A59" s="17"/>
      <c r="B59" s="17"/>
      <c r="C59" s="17"/>
      <c r="D59" s="17"/>
      <c r="E59" s="17"/>
      <c r="F59" s="17"/>
      <c r="G59" s="24"/>
      <c r="H59" s="17"/>
    </row>
    <row r="60" spans="1:8" ht="16" x14ac:dyDescent="0.2">
      <c r="A60" s="17"/>
      <c r="B60" s="17"/>
      <c r="C60" s="17"/>
      <c r="D60" s="17"/>
      <c r="E60" s="17"/>
      <c r="F60" s="17"/>
      <c r="G60" s="24"/>
      <c r="H60" s="17"/>
    </row>
    <row r="61" spans="1:8" ht="16" x14ac:dyDescent="0.2">
      <c r="A61" s="17"/>
      <c r="B61" s="17"/>
      <c r="C61" s="17"/>
      <c r="D61" s="17"/>
      <c r="E61" s="17"/>
      <c r="F61" s="17"/>
      <c r="G61" s="17"/>
      <c r="H61" s="17"/>
    </row>
    <row r="62" spans="1:8" ht="16" x14ac:dyDescent="0.2">
      <c r="A62" s="17"/>
      <c r="B62" s="17"/>
      <c r="C62" s="17"/>
      <c r="D62" s="17"/>
      <c r="E62" s="17"/>
      <c r="F62" s="17"/>
      <c r="G62" s="17"/>
      <c r="H62" s="17"/>
    </row>
    <row r="63" spans="1:8" ht="16" x14ac:dyDescent="0.2">
      <c r="A63" s="17"/>
      <c r="B63" s="17"/>
      <c r="C63" s="17"/>
      <c r="D63" s="17"/>
      <c r="E63" s="17"/>
      <c r="F63" s="17"/>
      <c r="G63" s="17"/>
      <c r="H63" s="17"/>
    </row>
    <row r="64" spans="1:8" ht="16" x14ac:dyDescent="0.2">
      <c r="G64" s="17"/>
      <c r="H64" s="17"/>
    </row>
    <row r="65" spans="7:8" ht="16" x14ac:dyDescent="0.2">
      <c r="G65" s="17"/>
      <c r="H65" s="17"/>
    </row>
  </sheetData>
  <mergeCells count="23">
    <mergeCell ref="A29:H29"/>
    <mergeCell ref="G53:H54"/>
    <mergeCell ref="G55:H55"/>
    <mergeCell ref="A58:B58"/>
    <mergeCell ref="C58:F58"/>
    <mergeCell ref="A16:H16"/>
    <mergeCell ref="A22:H22"/>
    <mergeCell ref="A23:H23"/>
    <mergeCell ref="A25:H25"/>
    <mergeCell ref="F26:G26"/>
    <mergeCell ref="F27:G27"/>
    <mergeCell ref="A6:B6"/>
    <mergeCell ref="C6:D6"/>
    <mergeCell ref="B8:C8"/>
    <mergeCell ref="E8:F8"/>
    <mergeCell ref="B10:H10"/>
    <mergeCell ref="A12:H12"/>
    <mergeCell ref="A2:E2"/>
    <mergeCell ref="A4:B4"/>
    <mergeCell ref="C4:D4"/>
    <mergeCell ref="A5:B5"/>
    <mergeCell ref="C5:D5"/>
    <mergeCell ref="F5:H5"/>
  </mergeCells>
  <dataValidations count="1">
    <dataValidation allowBlank="1" showDropDown="1" showInputMessage="1" showErrorMessage="1" sqref="A15" xr:uid="{46415A9D-7FA4-7A41-9AC3-679DAB7AFE75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 Specification</vt:lpstr>
      <vt:lpstr>Fiber 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Account</dc:creator>
  <cp:lastModifiedBy>Test Account</cp:lastModifiedBy>
  <dcterms:created xsi:type="dcterms:W3CDTF">2026-02-04T08:30:27Z</dcterms:created>
  <dcterms:modified xsi:type="dcterms:W3CDTF">2026-02-04T08:39:43Z</dcterms:modified>
</cp:coreProperties>
</file>