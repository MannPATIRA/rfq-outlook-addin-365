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F:\Angebote\2026\"/>
    </mc:Choice>
  </mc:AlternateContent>
  <xr:revisionPtr revIDLastSave="0" documentId="8_{E83D28AF-48AD-4276-B985-F02603487B21}" xr6:coauthVersionLast="47" xr6:coauthVersionMax="47" xr10:uidLastSave="{00000000-0000-0000-0000-000000000000}"/>
  <workbookProtection workbookAlgorithmName="SHA-512" workbookHashValue="rXc5YmEgs/10t91hdkwvnB++n7R7aNMUh0zo658lmaT5/Hc6u2VMbzsd5tVxNacPKw3wsf/RXXYN8kw9ZLRb7Q==" workbookSaltValue="WudQmMxQNgAgXFmrw2lEjQ==" workbookSpinCount="100000" lockStructure="1"/>
  <bookViews>
    <workbookView xWindow="11219" yWindow="1833" windowWidth="13392" windowHeight="13654" activeTab="1" xr2:uid="{00000000-000D-0000-FFFF-FFFF00000000}"/>
  </bookViews>
  <sheets>
    <sheet name="Fiber Specification" sheetId="10" r:id="rId1"/>
    <sheet name="Sensor Specification" sheetId="12" r:id="rId2"/>
    <sheet name="Definitions" sheetId="11" state="hidden" r:id="rId3"/>
    <sheet name="Drawings" sheetId="13" state="hidden" r:id="rId4"/>
  </sheets>
  <definedNames>
    <definedName name="Sensordesign">INDEX(#REF!,#REF!)</definedName>
    <definedName name="SensorDrawing">INDIRECT("Drawings!B"&amp;Drawings!$B$1)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C34" i="12"/>
  <c r="F14" i="10"/>
  <c r="E14" i="10"/>
  <c r="D14" i="10"/>
  <c r="B14" i="10"/>
  <c r="C14" i="10"/>
  <c r="B27" i="10"/>
  <c r="F5" i="10" l="1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5" i="10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AC12" i="11"/>
  <c r="AD1" i="11" s="1"/>
  <c r="AD5" i="11" a="1"/>
  <c r="AD8" i="11" a="1"/>
  <c r="AD3" i="11" a="1"/>
  <c r="AD4" i="11" a="1"/>
  <c r="AD6" i="11" a="1"/>
  <c r="AD2" i="11" a="1"/>
  <c r="AD7" i="11" a="1"/>
  <c r="AD3" i="11" l="1"/>
  <c r="AD2" i="11"/>
  <c r="AD6" i="11"/>
  <c r="AD7" i="11"/>
  <c r="AD8" i="11"/>
  <c r="AD4" i="11"/>
  <c r="AD5" i="11"/>
  <c r="C27" i="10" l="1"/>
  <c r="B1" i="13" l="1"/>
  <c r="H17" i="12"/>
  <c r="G17" i="12"/>
  <c r="F17" i="12"/>
  <c r="F16" i="12"/>
  <c r="E17" i="12"/>
  <c r="D17" i="12"/>
  <c r="D16" i="12"/>
  <c r="C16" i="12"/>
  <c r="B38" i="12"/>
  <c r="F20" i="10"/>
  <c r="D20" i="10"/>
  <c r="C20" i="10"/>
  <c r="B20" i="10"/>
  <c r="F19" i="10"/>
  <c r="D19" i="10"/>
  <c r="C19" i="10"/>
  <c r="B19" i="10"/>
  <c r="F18" i="10"/>
  <c r="E18" i="10"/>
  <c r="D18" i="10"/>
  <c r="C18" i="10"/>
  <c r="G18" i="10"/>
  <c r="F6" i="10"/>
  <c r="C6" i="10"/>
  <c r="H4" i="10"/>
  <c r="F4" i="10"/>
  <c r="B10" i="10"/>
  <c r="E62" i="12"/>
  <c r="B55" i="10"/>
  <c r="A62" i="12"/>
  <c r="A55" i="10" s="1"/>
  <c r="E61" i="12"/>
  <c r="B54" i="10"/>
  <c r="A61" i="12"/>
  <c r="A54" i="10" s="1"/>
  <c r="E60" i="12"/>
  <c r="B53" i="10"/>
  <c r="A60" i="12"/>
  <c r="A53" i="10" s="1"/>
  <c r="E59" i="12"/>
  <c r="B52" i="10"/>
  <c r="A59" i="12"/>
  <c r="A52" i="10" s="1"/>
  <c r="E58" i="12"/>
  <c r="B51" i="10"/>
  <c r="A58" i="12"/>
  <c r="A51" i="10" s="1"/>
  <c r="D57" i="12"/>
  <c r="D50" i="10" s="1"/>
  <c r="B50" i="10"/>
  <c r="A57" i="12"/>
  <c r="A50" i="10" s="1"/>
  <c r="D56" i="12"/>
  <c r="D49" i="10" s="1"/>
  <c r="B49" i="10"/>
  <c r="A56" i="12"/>
  <c r="A49" i="10" s="1"/>
  <c r="E55" i="12"/>
  <c r="B48" i="10"/>
  <c r="A55" i="12"/>
  <c r="A48" i="10" s="1"/>
  <c r="D54" i="12"/>
  <c r="D47" i="10" s="1"/>
  <c r="B47" i="10"/>
  <c r="A54" i="12"/>
  <c r="A47" i="10" s="1"/>
  <c r="E53" i="12"/>
  <c r="B46" i="10"/>
  <c r="A53" i="12"/>
  <c r="A46" i="10" s="1"/>
  <c r="E52" i="12"/>
  <c r="B45" i="10"/>
  <c r="A52" i="12"/>
  <c r="A45" i="10" s="1"/>
  <c r="E51" i="12"/>
  <c r="B44" i="10"/>
  <c r="A51" i="12"/>
  <c r="A44" i="10" s="1"/>
  <c r="E50" i="12"/>
  <c r="B43" i="10"/>
  <c r="A50" i="12"/>
  <c r="A43" i="10" s="1"/>
  <c r="D49" i="12"/>
  <c r="D42" i="10" s="1"/>
  <c r="B42" i="10"/>
  <c r="A49" i="12"/>
  <c r="A42" i="10" s="1"/>
  <c r="D48" i="12"/>
  <c r="D41" i="10" s="1"/>
  <c r="B41" i="10"/>
  <c r="A48" i="12"/>
  <c r="A41" i="10" s="1"/>
  <c r="D47" i="12"/>
  <c r="D40" i="10" s="1"/>
  <c r="B40" i="10"/>
  <c r="A47" i="12"/>
  <c r="A40" i="10" s="1"/>
  <c r="D46" i="12"/>
  <c r="D39" i="10" s="1"/>
  <c r="B39" i="10"/>
  <c r="A46" i="12"/>
  <c r="A39" i="10" s="1"/>
  <c r="E45" i="12"/>
  <c r="B38" i="10"/>
  <c r="A45" i="12"/>
  <c r="A38" i="10" s="1"/>
  <c r="E44" i="12"/>
  <c r="B37" i="10"/>
  <c r="A44" i="12"/>
  <c r="A37" i="10" s="1"/>
  <c r="E43" i="12"/>
  <c r="B36" i="10"/>
  <c r="A43" i="12"/>
  <c r="A36" i="10" s="1"/>
  <c r="A42" i="12"/>
  <c r="A35" i="10" s="1"/>
  <c r="A41" i="12"/>
  <c r="A34" i="10" s="1"/>
  <c r="A40" i="12"/>
  <c r="A33" i="10" s="1"/>
  <c r="A39" i="12"/>
  <c r="A32" i="10" s="1"/>
  <c r="C38" i="12"/>
  <c r="A38" i="12"/>
  <c r="A31" i="10" s="1"/>
  <c r="D38" i="12" l="1"/>
  <c r="D31" i="10" s="1"/>
  <c r="C39" i="12"/>
  <c r="C40" i="12" s="1"/>
  <c r="C41" i="12" s="1"/>
  <c r="C34" i="10" s="1"/>
  <c r="B31" i="10"/>
  <c r="B39" i="12"/>
  <c r="B40" i="12" s="1"/>
  <c r="C31" i="10"/>
  <c r="C53" i="10"/>
  <c r="E53" i="10" s="1"/>
  <c r="C51" i="10"/>
  <c r="E51" i="10" s="1"/>
  <c r="C46" i="10"/>
  <c r="E46" i="10" s="1"/>
  <c r="C43" i="10"/>
  <c r="E43" i="10" s="1"/>
  <c r="C38" i="10"/>
  <c r="E38" i="10" s="1"/>
  <c r="C54" i="10"/>
  <c r="E54" i="10" s="1"/>
  <c r="C50" i="10"/>
  <c r="E50" i="10" s="1"/>
  <c r="C42" i="10"/>
  <c r="E42" i="10" s="1"/>
  <c r="C49" i="10"/>
  <c r="E49" i="10" s="1"/>
  <c r="C41" i="10"/>
  <c r="E41" i="10" s="1"/>
  <c r="C48" i="10"/>
  <c r="E48" i="10" s="1"/>
  <c r="C40" i="10"/>
  <c r="E40" i="10" s="1"/>
  <c r="C55" i="10"/>
  <c r="E55" i="10" s="1"/>
  <c r="C47" i="10"/>
  <c r="E47" i="10" s="1"/>
  <c r="C39" i="10"/>
  <c r="E39" i="10" s="1"/>
  <c r="C45" i="10"/>
  <c r="E45" i="10" s="1"/>
  <c r="C37" i="10"/>
  <c r="E37" i="10" s="1"/>
  <c r="C52" i="10"/>
  <c r="E52" i="10" s="1"/>
  <c r="C44" i="10"/>
  <c r="E44" i="10" s="1"/>
  <c r="C36" i="10"/>
  <c r="E36" i="10" s="1"/>
  <c r="E49" i="12"/>
  <c r="E54" i="12"/>
  <c r="E57" i="12"/>
  <c r="D62" i="12"/>
  <c r="D55" i="10" s="1"/>
  <c r="E47" i="12"/>
  <c r="E46" i="12"/>
  <c r="D61" i="12"/>
  <c r="D54" i="10" s="1"/>
  <c r="D53" i="12"/>
  <c r="D46" i="10" s="1"/>
  <c r="E56" i="12"/>
  <c r="E48" i="12"/>
  <c r="D45" i="12"/>
  <c r="D38" i="10" s="1"/>
  <c r="D55" i="12"/>
  <c r="D48" i="10" s="1"/>
  <c r="D50" i="12"/>
  <c r="D43" i="10" s="1"/>
  <c r="D58" i="12"/>
  <c r="D51" i="10" s="1"/>
  <c r="D44" i="12"/>
  <c r="D37" i="10" s="1"/>
  <c r="D52" i="12"/>
  <c r="D45" i="10" s="1"/>
  <c r="D60" i="12"/>
  <c r="D53" i="10" s="1"/>
  <c r="D43" i="12"/>
  <c r="D36" i="10" s="1"/>
  <c r="D51" i="12"/>
  <c r="D44" i="10" s="1"/>
  <c r="D59" i="12"/>
  <c r="D52" i="10" s="1"/>
  <c r="E41" i="12" l="1"/>
  <c r="D39" i="12"/>
  <c r="D32" i="10" s="1"/>
  <c r="C32" i="10"/>
  <c r="E32" i="10" s="1"/>
  <c r="E39" i="12"/>
  <c r="B32" i="10"/>
  <c r="D40" i="12"/>
  <c r="D33" i="10" s="1"/>
  <c r="B41" i="12"/>
  <c r="B33" i="10"/>
  <c r="C42" i="12"/>
  <c r="D41" i="12"/>
  <c r="D34" i="10" s="1"/>
  <c r="C33" i="10"/>
  <c r="E33" i="10" s="1"/>
  <c r="E40" i="12"/>
  <c r="E42" i="12" l="1"/>
  <c r="D42" i="12"/>
  <c r="D35" i="10" s="1"/>
  <c r="C35" i="10"/>
  <c r="E35" i="10" s="1"/>
  <c r="B42" i="12"/>
  <c r="B35" i="10" s="1"/>
  <c r="B34" i="10"/>
  <c r="E3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2DBFE-7D9D-4844-BBD3-1ABBFA75C9F0}" keepAlive="1" name="Abfrage - Drawings" description="Verbindung mit der Abfrage 'Drawings' in der Arbeitsmappe." type="5" refreshedVersion="0" background="1">
    <dbPr connection="Provider=Microsoft.Mashup.OleDb.1;Data Source=$Workbook$;Location=Drawings;Extended Properties=&quot;&quot;" command="SELECT * FROM [Draw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<sst xmlns="http://schemas.openxmlformats.org/spreadsheetml/2006/main" count="307" uniqueCount="171">
  <si>
    <t xml:space="preserve">engionic Femto Gratings GmbH - Am Stollen 19B - 38640 Goslar   </t>
  </si>
  <si>
    <t>Production Sheet Number:</t>
  </si>
  <si>
    <t>Postition:</t>
  </si>
  <si>
    <t>of:</t>
  </si>
  <si>
    <t>Offer Number:</t>
  </si>
  <si>
    <t>Customer:</t>
  </si>
  <si>
    <t>Customer Product ID:</t>
  </si>
  <si>
    <t>Quantity:</t>
  </si>
  <si>
    <t>Contact:</t>
  </si>
  <si>
    <t>Approved By:</t>
  </si>
  <si>
    <t>Date: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</si>
  <si>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</si>
  <si>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</si>
  <si>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</si>
  <si>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</si>
  <si>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</si>
  <si>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</si>
  <si>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</si>
  <si>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</si>
  <si>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</si>
  <si>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SM1330-E9/125PI</t>
  </si>
  <si>
    <t>eFG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</si>
  <si>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</si>
  <si>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</si>
  <si>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</si>
  <si>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</si>
  <si>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</si>
  <si>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</si>
  <si>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</si>
  <si>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Apodized</t>
  </si>
  <si>
    <t>Nominal Value</t>
  </si>
  <si>
    <t>-</t>
  </si>
  <si>
    <t>yes</t>
  </si>
  <si>
    <t>Plus Tolerance</t>
  </si>
  <si>
    <t>Minus Tolerance</t>
  </si>
  <si>
    <t>Fiber Design</t>
  </si>
  <si>
    <t>Additional Specifications</t>
  </si>
  <si>
    <t>Spectrum Datasheet</t>
  </si>
  <si>
    <t>Label</t>
  </si>
  <si>
    <t>Total Fiber Length (mm)</t>
  </si>
  <si>
    <r>
      <t>Simplified Packaging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</si>
  <si>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Tolerance FBG Spacing (%)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</si>
  <si>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FBG Marking</t>
  </si>
  <si>
    <t>Fiber Input Marking</t>
  </si>
  <si>
    <t>linear</t>
  </si>
  <si>
    <t>no</t>
  </si>
  <si>
    <t>black, FBG-length (1mm tolerance)</t>
  </si>
  <si>
    <t>black</t>
  </si>
  <si>
    <t>Wavelength Table</t>
  </si>
  <si>
    <t>FBG Name</t>
  </si>
  <si>
    <t>FBG Position (mm)</t>
  </si>
  <si>
    <t>FBG Lead Out (mm)</t>
  </si>
  <si>
    <t>FBG Spacing (mm)</t>
  </si>
  <si>
    <t>1) continous fiber with multible FBGs/arrays, to be cut by customer</t>
  </si>
  <si>
    <t>2) min. Tolerance Spacing: 1 mm</t>
  </si>
  <si>
    <t>Customers Signature:</t>
  </si>
  <si>
    <t xml:space="preserve">engionic Fiber Optics GmbH - Ernst-Lau-Straße 8 - 12489 Berlin   </t>
  </si>
  <si>
    <t>Remarks FBGs:</t>
  </si>
  <si>
    <t>Kein Faserwechsel ohne Absprache; Toleranz erstes bis letztes FBG max 5mm</t>
  </si>
  <si>
    <t>Remarks Sensor:</t>
  </si>
  <si>
    <t>Sensor Configuration</t>
  </si>
  <si>
    <t>Connector Type</t>
  </si>
  <si>
    <t>Capillary with Tube</t>
  </si>
  <si>
    <t>PVC</t>
  </si>
  <si>
    <t>Temperature Sensing Configuration</t>
  </si>
  <si>
    <t>Working Temperature (°C)</t>
  </si>
  <si>
    <t>Annealing</t>
  </si>
  <si>
    <t>Calibration</t>
  </si>
  <si>
    <t>min</t>
  </si>
  <si>
    <t>max</t>
  </si>
  <si>
    <t>from</t>
  </si>
  <si>
    <t>to</t>
  </si>
  <si>
    <t>on spool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</si>
  <si>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</si>
  <si>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</si>
  <si>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</si>
  <si>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</si>
  <si>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</si>
  <si>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</si>
  <si>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</si>
  <si>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</si>
  <si>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</si>
  <si>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Additional Quantity</t>
  </si>
  <si>
    <t>Additional Lead In (mm)</t>
  </si>
  <si>
    <t>Additional Lead Out (mm)</t>
  </si>
  <si>
    <t>Contact</t>
  </si>
  <si>
    <t>Core Type</t>
  </si>
  <si>
    <t>Mode Field</t>
  </si>
  <si>
    <t>Fiber Cladding</t>
  </si>
  <si>
    <t>Coating</t>
  </si>
  <si>
    <t>Manufacturer</t>
  </si>
  <si>
    <t>Provided</t>
  </si>
  <si>
    <t>Spectrum</t>
  </si>
  <si>
    <t>FBG</t>
  </si>
  <si>
    <t xml:space="preserve">Fiber </t>
  </si>
  <si>
    <t>WL spacing</t>
  </si>
  <si>
    <t>Pos spacing</t>
  </si>
  <si>
    <t>Tubings</t>
  </si>
  <si>
    <t>Cappil. Diam</t>
  </si>
  <si>
    <t>SMF-28 Ultra</t>
  </si>
  <si>
    <t>Single Mode</t>
  </si>
  <si>
    <t>Acrylate</t>
  </si>
  <si>
    <t>Corning</t>
  </si>
  <si>
    <t>G.657.A1</t>
  </si>
  <si>
    <r>
      <t>black, FBG-length (</t>
    </r>
    <r>
      <rPr>
        <sz val="12"/>
        <color theme="1"/>
        <rFont val="Calibri"/>
        <family val="2"/>
      </rPr>
      <t>±</t>
    </r>
    <r>
      <rPr>
        <sz val="12"/>
        <color theme="1"/>
        <rFont val="Calibri"/>
        <family val="2"/>
        <scheme val="minor"/>
      </rPr>
      <t>1mm tolerance)</t>
    </r>
  </si>
  <si>
    <t>black, 3 cm dots</t>
  </si>
  <si>
    <t>FC/APC</t>
  </si>
  <si>
    <t>PTFE</t>
  </si>
  <si>
    <t>Hytrel</t>
  </si>
  <si>
    <t>PS</t>
  </si>
  <si>
    <t>PEEK</t>
  </si>
  <si>
    <t>StainlessSteel</t>
  </si>
  <si>
    <t>Friedrich</t>
  </si>
  <si>
    <t>SMF-28 Ultra 200</t>
  </si>
  <si>
    <t>customer</t>
  </si>
  <si>
    <t>logarithmic</t>
  </si>
  <si>
    <t>FC/AP</t>
  </si>
  <si>
    <t>on fiber</t>
  </si>
  <si>
    <t>Gong</t>
  </si>
  <si>
    <t>10,4</t>
  </si>
  <si>
    <t>125</t>
  </si>
  <si>
    <t>Polyimide</t>
  </si>
  <si>
    <t>J-Fiber</t>
  </si>
  <si>
    <t>black, plus black 25 mm to sides</t>
  </si>
  <si>
    <t>green</t>
  </si>
  <si>
    <t>LC/APC</t>
  </si>
  <si>
    <t>Kampling</t>
  </si>
  <si>
    <t>SM1500SC(7/80)P</t>
  </si>
  <si>
    <t>Pure Core</t>
  </si>
  <si>
    <t>6,7 - 7,6</t>
  </si>
  <si>
    <t>80</t>
  </si>
  <si>
    <t>Fibercore</t>
  </si>
  <si>
    <t>Other (see Remarks)</t>
  </si>
  <si>
    <t>E2000/APC (ext.)</t>
  </si>
  <si>
    <t>Reif</t>
  </si>
  <si>
    <t>SM1250BI(9.8/125)P</t>
  </si>
  <si>
    <t>Bend Insensitive</t>
  </si>
  <si>
    <t>9 - 10,6</t>
  </si>
  <si>
    <t>DIN</t>
  </si>
  <si>
    <t>Vasileiou</t>
  </si>
  <si>
    <t>SM1250SC(9/125)</t>
  </si>
  <si>
    <t>8,3 - 9,6</t>
  </si>
  <si>
    <t>FC/APC both ends</t>
  </si>
  <si>
    <t>Vouilleme</t>
  </si>
  <si>
    <t>SM1250SC(9/125)P</t>
  </si>
  <si>
    <t>LC/APC both ends</t>
  </si>
  <si>
    <t>Yang</t>
  </si>
  <si>
    <t>SM1250SC(10/125)P</t>
  </si>
  <si>
    <t>9,2 - 10,8</t>
  </si>
  <si>
    <t>IXF-RAD-SM-1550-014-PI</t>
  </si>
  <si>
    <t>Radiation Hard</t>
  </si>
  <si>
    <t>8 - 10</t>
  </si>
  <si>
    <t>iXblue</t>
  </si>
  <si>
    <t>SMF-60-MTDA-125-1</t>
  </si>
  <si>
    <t>9,3 - 10,7</t>
  </si>
  <si>
    <t>Verrillon</t>
  </si>
  <si>
    <t>Ormocer</t>
  </si>
  <si>
    <t>Single Mode Acrylate</t>
  </si>
  <si>
    <t>Single Mode PI</t>
  </si>
  <si>
    <t>Pure Core PI</t>
  </si>
  <si>
    <t>Capillary without Tube</t>
  </si>
  <si>
    <t>Fiber Only</t>
  </si>
  <si>
    <t>Fiber with Tube</t>
  </si>
  <si>
    <t>Flex Steel Tubing</t>
  </si>
  <si>
    <t/>
  </si>
  <si>
    <t>simplified packaging</t>
  </si>
  <si>
    <t>Gillooly</t>
  </si>
  <si>
    <t>Hoffmann</t>
  </si>
  <si>
    <t>V1.14</t>
  </si>
  <si>
    <t>10050</t>
  </si>
  <si>
    <t>NRL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</si>
</sst>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2"/>
      <color rgb="FFF2F2F2"/>
      <name val="Calibri"/>
      <family val="2"/>
    </font>
    <font>
      <sz val="11"/>
      <color rgb="FFF2F2F2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 wrapText="1"/>
      <protection locked="0"/>
    </xf>
    <xf numFmtId="164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1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1" fillId="4" borderId="0" xfId="0" applyFont="1" applyFill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0" fillId="3" borderId="0" xfId="0" applyFill="1"/>
    <xf numFmtId="0" fontId="20" fillId="0" borderId="0" xfId="0" applyFont="1"/>
    <xf numFmtId="0" fontId="7" fillId="0" borderId="1" xfId="0" applyFont="1" applyBorder="1" applyAlignment="1" applyProtection="1">
      <alignment horizontal="center" vertical="center" wrapText="1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8" xfId="0" applyFont="1" applyBorder="1"/>
    <xf numFmtId="0" fontId="3" fillId="5" borderId="1" xfId="0" applyFon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" fontId="8" fillId="5" borderId="1" xfId="0" applyNumberFormat="1" applyFont="1" applyFill="1" applyBorder="1" applyAlignment="1">
      <alignment horizontal="right" vertical="top"/>
    </xf>
    <xf numFmtId="1" fontId="8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4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7" fillId="0" borderId="1" xfId="0" quotePrefix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/>
    <xf numFmtId="0" fontId="6" fillId="5" borderId="9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3" fillId="0" borderId="0" xfId="0" applyFont="1"/>
    <xf numFmtId="0" fontId="15" fillId="0" borderId="0" xfId="0" applyFont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17" fillId="0" borderId="1" xfId="0" applyFont="1" applyBorder="1"/>
    <xf numFmtId="0" fontId="17" fillId="0" borderId="1" xfId="0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 vertical="top"/>
      <protection locked="0"/>
    </xf>
    <xf numFmtId="0" fontId="7" fillId="0" borderId="1" xfId="0" applyFont="1" applyBorder="1" applyProtection="1">
      <protection locked="0"/>
    </xf>
    <xf numFmtId="0" fontId="17" fillId="0" borderId="1" xfId="0" applyFont="1" applyBorder="1" applyProtection="1">
      <protection locked="0"/>
    </xf>
    <xf numFmtId="0" fontId="8" fillId="5" borderId="3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6" fillId="0" borderId="0" xfId="0" applyFont="1"/>
    <xf numFmtId="0" fontId="12" fillId="0" borderId="0" xfId="0" applyFont="1"/>
    <xf numFmtId="0" fontId="6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6" fillId="0" borderId="0" xfId="0" quotePrefix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2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22" fillId="0" borderId="8" xfId="0" applyFont="1" applyBorder="1" applyAlignment="1">
      <alignment horizontal="right"/>
    </xf>
    <xf numFmtId="16" fontId="22" fillId="0" borderId="8" xfId="0" applyNumberFormat="1" applyFont="1" applyBorder="1" applyAlignment="1">
      <alignment horizontal="right"/>
    </xf>
    <xf numFmtId="0" fontId="21" fillId="2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49" fontId="25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5" borderId="1" xfId="0" applyFont="1" applyFill="1" applyBorder="1" applyAlignment="1">
      <alignment horizontal="right" vertical="center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24" fillId="0" borderId="1" xfId="0" applyFont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0" borderId="3" xfId="0" applyFont="1" applyBorder="1" applyAlignment="1" applyProtection="1">
      <alignment horizontal="left" vertical="top"/>
      <protection locked="0"/>
    </xf>
    <xf numFmtId="1" fontId="7" fillId="0" borderId="2" xfId="0" applyNumberFormat="1" applyFont="1" applyBorder="1" applyAlignment="1" applyProtection="1">
      <alignment horizontal="left" vertical="top"/>
      <protection locked="0"/>
    </xf>
    <xf numFmtId="1" fontId="7" fillId="0" borderId="7" xfId="0" applyNumberFormat="1" applyFont="1" applyBorder="1" applyAlignment="1" applyProtection="1">
      <alignment horizontal="left" vertical="top"/>
      <protection locked="0"/>
    </xf>
    <xf numFmtId="1" fontId="7" fillId="0" borderId="3" xfId="0" applyNumberFormat="1" applyFont="1" applyBorder="1" applyAlignment="1" applyProtection="1">
      <alignment horizontal="left" vertical="top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7" fillId="5" borderId="3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2" fontId="7" fillId="5" borderId="1" xfId="0" applyNumberFormat="1" applyFont="1" applyFill="1" applyBorder="1" applyAlignment="1">
      <alignment horizontal="center" vertical="center" wrapText="1"/>
    </xf>
    <xf numFmtId="1" fontId="7" fillId="8" borderId="1" xfId="0" applyNumberFormat="1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quotePrefix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" fontId="18" fillId="9" borderId="1" xfId="0" applyNumberFormat="1" applyFont="1" applyFill="1" applyBorder="1" applyAlignment="1">
      <alignment horizontal="left" vertical="top"/>
    </xf>
    <xf numFmtId="1" fontId="9" fillId="0" borderId="0" xfId="0" applyNumberFormat="1" applyFont="1" applyAlignment="1">
      <alignment horizontal="center" vertical="top"/>
    </xf>
    <xf numFmtId="0" fontId="3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checked="Checked" fmlaLink="Definitions!W2" lockText="1" noThreeD="1"/>
</file>

<file path=xl/ctrlProps/ctrlProp2.xml><?xml version="1.0" encoding="utf-8"?>
<formControlPr xmlns="http://schemas.microsoft.com/office/spreadsheetml/2009/9/main" objectType="CheckBox" checked="Checked" fmlaLink="Definitions!Y2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171450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22</xdr:row>
      <xdr:rowOff>47625</xdr:rowOff>
    </xdr:from>
    <xdr:to>
      <xdr:col>7</xdr:col>
      <xdr:colOff>133350</xdr:colOff>
      <xdr:row>22</xdr:row>
      <xdr:rowOff>1314450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505450"/>
          <a:ext cx="7200900" cy="1266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16625</xdr:colOff>
          <xdr:row>45</xdr:row>
          <xdr:rowOff>0</xdr:rowOff>
        </xdr:from>
        <xdr:to>
          <xdr:col>6</xdr:col>
          <xdr:colOff>241069</xdr:colOff>
          <xdr:row>46</xdr:row>
          <xdr:rowOff>24938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1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16625</xdr:colOff>
          <xdr:row>52</xdr:row>
          <xdr:rowOff>0</xdr:rowOff>
        </xdr:from>
        <xdr:to>
          <xdr:col>6</xdr:col>
          <xdr:colOff>266007</xdr:colOff>
          <xdr:row>53</xdr:row>
          <xdr:rowOff>24938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1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190500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904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1428750</xdr:colOff>
          <xdr:row>14</xdr:row>
          <xdr:rowOff>9525</xdr:rowOff>
        </xdr:from>
        <xdr:to>
          <xdr:col>6</xdr:col>
          <xdr:colOff>685800</xdr:colOff>
          <xdr:row>15</xdr:row>
          <xdr:rowOff>9525</xdr:rowOff>
        </xdr:to>
        <xdr:pic>
          <xdr:nvPicPr>
            <xdr:cNvPr id="28" name="Grafik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nsorDrawing" spid="_x0000_s1970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28750" y="3190875"/>
              <a:ext cx="6591300" cy="1371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</xdr:row>
      <xdr:rowOff>66675</xdr:rowOff>
    </xdr:from>
    <xdr:to>
      <xdr:col>1</xdr:col>
      <xdr:colOff>6201391</xdr:colOff>
      <xdr:row>2</xdr:row>
      <xdr:rowOff>1334295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466725"/>
          <a:ext cx="5639416" cy="126762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3</xdr:row>
      <xdr:rowOff>85725</xdr:rowOff>
    </xdr:from>
    <xdr:to>
      <xdr:col>1</xdr:col>
      <xdr:colOff>6053332</xdr:colOff>
      <xdr:row>3</xdr:row>
      <xdr:rowOff>1322865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1857375"/>
          <a:ext cx="5634232" cy="123714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4</xdr:row>
      <xdr:rowOff>57150</xdr:rowOff>
    </xdr:from>
    <xdr:to>
      <xdr:col>1</xdr:col>
      <xdr:colOff>6064231</xdr:colOff>
      <xdr:row>4</xdr:row>
      <xdr:rowOff>1294290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3200400"/>
          <a:ext cx="5645131" cy="12371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104775</xdr:rowOff>
    </xdr:from>
    <xdr:to>
      <xdr:col>1</xdr:col>
      <xdr:colOff>6083811</xdr:colOff>
      <xdr:row>5</xdr:row>
      <xdr:rowOff>1349535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4619625"/>
          <a:ext cx="5626611" cy="1244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7616-8033-4420-8BCA-890B46456855}">
  <sheetPr codeName="Tabelle8"/>
  <dimension ref="A1:P65"/>
  <sheetViews>
    <sheetView workbookViewId="0">
      <selection activeCell="B9" sqref="B9"/>
    </sheetView>
  </sheetViews>
  <sheetFormatPr defaultColWidth="11.44140625" defaultRowHeight="15.05" x14ac:dyDescent="0.3"/>
  <cols>
    <col min="1" max="1" width="24.33203125" style="21" customWidth="1"/>
    <col min="2" max="8" width="17.109375" style="21" customWidth="1"/>
    <col min="9" max="15" width="11.44140625" style="21"/>
    <col min="16" max="16" width="10.88671875" style="21" bestFit="1" customWidth="1"/>
    <col min="17" max="16384" width="11.44140625" style="21"/>
  </cols>
  <sheetData>
    <row r="1" spans="1:10" ht="64.5" customHeight="1" x14ac:dyDescent="0.3"/>
    <row r="2" spans="1:10" ht="19" thickBot="1" x14ac:dyDescent="0.4">
      <c r="A2" s="115" t="s">
        <v>0</v>
      </c>
      <c r="B2" s="115"/>
      <c r="C2" s="115"/>
      <c r="D2" s="115"/>
      <c r="E2" s="115"/>
      <c r="F2" s="22"/>
      <c r="G2" s="22"/>
      <c r="H2" s="103" t="s">
        <v>168</v>
      </c>
    </row>
    <row r="3" spans="1:10" ht="7.55" customHeight="1" x14ac:dyDescent="0.3"/>
    <row r="4" spans="1:10" ht="18.350000000000001" x14ac:dyDescent="0.3">
      <c r="A4" s="116" t="s">
        <v>1</v>
      </c>
      <c r="B4" s="116"/>
      <c r="C4" s="117"/>
      <c r="D4" s="117"/>
      <c r="E4" s="23" t="s">
        <v>2</v>
      </c>
      <c r="F4" s="24">
        <f>'Sensor Specification'!F4</f>
        <v>1</v>
      </c>
      <c r="G4" s="25" t="s">
        <v>3</v>
      </c>
      <c r="H4" s="24">
        <f>'Sensor Specification'!H4</f>
        <v>1</v>
      </c>
    </row>
    <row r="5" spans="1:10" ht="18.350000000000001" x14ac:dyDescent="0.3">
      <c r="A5" s="116" t="s">
        <v>4</v>
      </c>
      <c r="B5" s="116"/>
      <c r="C5" s="118">
        <f>'Sensor Specification'!C5</f>
        <v>41260018</v>
      </c>
      <c r="D5" s="118"/>
      <c r="E5" s="23" t="s">
        <v>5</v>
      </c>
      <c r="F5" s="114" t="str">
        <f>'Sensor Specification'!F5</f>
        <v>NRL</v>
      </c>
      <c r="G5" s="114"/>
      <c r="H5" s="114"/>
    </row>
    <row r="6" spans="1:10" ht="18.350000000000001" x14ac:dyDescent="0.35">
      <c r="A6" s="110" t="s">
        <v>6</v>
      </c>
      <c r="B6" s="110"/>
      <c r="C6" s="111">
        <f>'Sensor Specification'!C4</f>
        <v>0</v>
      </c>
      <c r="D6" s="112"/>
      <c r="E6" s="23" t="s">
        <v>7</v>
      </c>
      <c r="F6" s="26">
        <f>'Sensor Specification'!F6+'Sensor Specification'!B70</f>
        <v>10</v>
      </c>
      <c r="G6" s="27"/>
      <c r="H6" s="27"/>
    </row>
    <row r="7" spans="1:10" ht="7.55" customHeight="1" x14ac:dyDescent="0.3">
      <c r="A7" s="28"/>
      <c r="B7" s="29"/>
      <c r="C7" s="30"/>
      <c r="D7" s="31"/>
    </row>
    <row r="8" spans="1:10" ht="15.75" x14ac:dyDescent="0.3">
      <c r="A8" s="32" t="s">
        <v>8</v>
      </c>
      <c r="B8" s="113">
        <f>'Sensor Specification'!B8</f>
        <v>0</v>
      </c>
      <c r="C8" s="113"/>
      <c r="D8" s="88" t="s">
        <v>9</v>
      </c>
      <c r="E8" s="119"/>
      <c r="F8" s="119"/>
      <c r="G8" s="89" t="s">
        <v>10</v>
      </c>
      <c r="H8" s="4"/>
      <c r="I8" s="30"/>
    </row>
    <row r="9" spans="1:10" ht="7.55" customHeight="1" x14ac:dyDescent="0.3">
      <c r="A9" s="35"/>
      <c r="B9" s="36"/>
      <c r="C9" s="29"/>
      <c r="D9" s="37"/>
      <c r="E9" s="38"/>
      <c r="F9" s="38"/>
      <c r="G9" s="38"/>
      <c r="H9" s="38"/>
      <c r="I9" s="30"/>
    </row>
    <row r="10" spans="1:10" ht="46.5" customHeight="1" x14ac:dyDescent="0.3">
      <c r="A10" s="39" t="s">
        <v>11</v>
      </c>
      <c r="B10" s="120" t="str">
        <f>'Sensor Specification'!B10</f>
        <v>Kein Faserwechsel ohne Absprache; Toleranz erstes bis letztes FBG max 5mm</v>
      </c>
      <c r="C10" s="121"/>
      <c r="D10" s="121"/>
      <c r="E10" s="121"/>
      <c r="F10" s="121"/>
      <c r="G10" s="121"/>
      <c r="H10" s="121"/>
      <c r="I10" s="30"/>
    </row>
    <row r="11" spans="1:10" ht="7.55" customHeight="1" x14ac:dyDescent="0.3">
      <c r="A11" s="40"/>
      <c r="B11" s="44"/>
      <c r="C11" s="44"/>
      <c r="D11" s="44"/>
      <c r="E11" s="44"/>
      <c r="F11" s="44"/>
      <c r="G11" s="44"/>
      <c r="H11" s="44"/>
    </row>
    <row r="12" spans="1:10" ht="18.350000000000001" x14ac:dyDescent="0.3">
      <c r="A12" s="132" t="s">
        <v>12</v>
      </c>
      <c r="B12" s="132"/>
      <c r="C12" s="132"/>
      <c r="D12" s="132"/>
      <c r="E12" s="132"/>
      <c r="F12" s="132"/>
      <c r="G12" s="133"/>
      <c r="H12" s="132"/>
    </row>
    <row r="13" spans="1:10" ht="31.45" x14ac:dyDescent="0.3">
      <c r="A13" s="53" t="s">
        <v>13</v>
      </c>
      <c r="B13" s="53" t="s">
        <v>14</v>
      </c>
      <c r="C13" s="105" t="s">
        <v>15</v>
      </c>
      <c r="D13" s="53" t="s">
        <v>16</v>
      </c>
      <c r="E13" s="53" t="s">
        <v>17</v>
      </c>
      <c r="F13" s="53" t="s">
        <v>18</v>
      </c>
      <c r="G13" s="55"/>
      <c r="H13" s="53" t="s">
        <v>19</v>
      </c>
      <c r="I13" s="90"/>
      <c r="J13" s="91"/>
    </row>
    <row r="14" spans="1:10" ht="15.75" x14ac:dyDescent="0.3">
      <c r="A14" s="17" t="s">
        <v>20</v>
      </c>
      <c r="B14" s="49" t="str">
        <f>VLOOKUP($A$14,Definitions!C2:I16,2,0)</f>
        <v>Single Mode</v>
      </c>
      <c r="C14" s="49" t="str">
        <f>VLOOKUP($A$14,Definitions!C2:I16,7,0)</f>
        <v>-</v>
      </c>
      <c r="D14" s="49" t="str">
        <f>VLOOKUP($A$14,Definitions!C2:I16,4,0)</f>
        <v>125</v>
      </c>
      <c r="E14" s="49" t="str">
        <f>VLOOKUP($A$14,Definitions!C2:I16,5,0)</f>
        <v>Polyimide</v>
      </c>
      <c r="F14" s="49" t="str">
        <f>VLOOKUP($A$14,Definitions!C2:I16,6,0)</f>
        <v>J-Fiber</v>
      </c>
      <c r="G14" s="51"/>
      <c r="H14" s="18" t="s">
        <v>21</v>
      </c>
      <c r="I14" s="45"/>
    </row>
    <row r="15" spans="1:10" ht="7.55" customHeight="1" x14ac:dyDescent="0.3">
      <c r="A15" s="50"/>
      <c r="B15" s="50"/>
      <c r="C15" s="50"/>
      <c r="D15" s="50"/>
      <c r="E15" s="50"/>
      <c r="F15" s="50"/>
      <c r="G15" s="51"/>
      <c r="H15" s="36"/>
      <c r="I15" s="52"/>
    </row>
    <row r="16" spans="1:10" ht="18.350000000000001" x14ac:dyDescent="0.3">
      <c r="A16" s="134" t="s">
        <v>22</v>
      </c>
      <c r="B16" s="134"/>
      <c r="C16" s="134"/>
      <c r="D16" s="134"/>
      <c r="E16" s="134"/>
      <c r="F16" s="134"/>
      <c r="G16" s="134"/>
      <c r="H16" s="134"/>
    </row>
    <row r="17" spans="1:16" ht="15.75" x14ac:dyDescent="0.3">
      <c r="A17" s="53"/>
      <c r="B17" s="53" t="s">
        <v>23</v>
      </c>
      <c r="C17" s="53" t="s">
        <v>24</v>
      </c>
      <c r="D17" s="53" t="s">
        <v>25</v>
      </c>
      <c r="E17" s="53" t="s">
        <v>26</v>
      </c>
      <c r="F17" s="53" t="s">
        <v>27</v>
      </c>
      <c r="G17" s="54" t="s">
        <v>28</v>
      </c>
      <c r="H17" s="54" t="s">
        <v>29</v>
      </c>
      <c r="I17" s="55"/>
    </row>
    <row r="18" spans="1:16" ht="15.75" x14ac:dyDescent="0.3">
      <c r="A18" s="56" t="s">
        <v>30</v>
      </c>
      <c r="B18" s="49" t="s">
        <v>31</v>
      </c>
      <c r="C18" s="58">
        <f>'Sensor Specification'!C27</f>
        <v>0.1</v>
      </c>
      <c r="D18" s="58">
        <f>'Sensor Specification'!D27</f>
        <v>0.09</v>
      </c>
      <c r="E18" s="57">
        <f>'Sensor Specification'!E27</f>
        <v>8</v>
      </c>
      <c r="F18" s="57">
        <f>'Sensor Specification'!F27</f>
        <v>12</v>
      </c>
      <c r="G18" s="59">
        <f>'Sensor Specification'!G27</f>
        <v>0</v>
      </c>
      <c r="H18" s="17" t="s">
        <v>32</v>
      </c>
      <c r="I18" s="50"/>
    </row>
    <row r="19" spans="1:16" ht="15.75" x14ac:dyDescent="0.3">
      <c r="A19" s="60" t="s">
        <v>33</v>
      </c>
      <c r="B19" s="59">
        <f>'Sensor Specification'!B28</f>
        <v>0.1</v>
      </c>
      <c r="C19" s="59">
        <f>'Sensor Specification'!C28</f>
        <v>0.04</v>
      </c>
      <c r="D19" s="59">
        <f>'Sensor Specification'!D28</f>
        <v>0.02</v>
      </c>
      <c r="E19" s="49" t="s">
        <v>31</v>
      </c>
      <c r="F19" s="61">
        <f>'Sensor Specification'!F28</f>
        <v>2</v>
      </c>
      <c r="G19" s="30"/>
      <c r="H19" s="30"/>
      <c r="I19" s="50"/>
    </row>
    <row r="20" spans="1:16" ht="15.75" x14ac:dyDescent="0.3">
      <c r="A20" s="60" t="s">
        <v>34</v>
      </c>
      <c r="B20" s="59">
        <f>'Sensor Specification'!B29</f>
        <v>0.1</v>
      </c>
      <c r="C20" s="59">
        <f>'Sensor Specification'!C29</f>
        <v>0.04</v>
      </c>
      <c r="D20" s="59">
        <f>'Sensor Specification'!D29</f>
        <v>0.02</v>
      </c>
      <c r="E20" s="49" t="s">
        <v>31</v>
      </c>
      <c r="F20" s="61">
        <f>'Sensor Specification'!F29</f>
        <v>2</v>
      </c>
      <c r="G20" s="30"/>
      <c r="H20" s="30"/>
      <c r="I20" s="50"/>
    </row>
    <row r="21" spans="1:16" ht="7.55" customHeight="1" x14ac:dyDescent="0.3">
      <c r="A21" s="50"/>
      <c r="B21" s="50"/>
      <c r="C21" s="62"/>
      <c r="D21" s="62"/>
      <c r="E21" s="62"/>
      <c r="F21" s="63"/>
      <c r="I21" s="64"/>
    </row>
    <row r="22" spans="1:16" ht="18.350000000000001" x14ac:dyDescent="0.3">
      <c r="A22" s="132" t="s">
        <v>35</v>
      </c>
      <c r="B22" s="132"/>
      <c r="C22" s="132"/>
      <c r="D22" s="132"/>
      <c r="E22" s="132"/>
      <c r="F22" s="132"/>
      <c r="G22" s="132"/>
      <c r="H22" s="132"/>
    </row>
    <row r="23" spans="1:16" ht="105.75" customHeight="1" x14ac:dyDescent="0.3">
      <c r="A23" s="135"/>
      <c r="B23" s="135"/>
      <c r="C23" s="135"/>
      <c r="D23" s="135"/>
      <c r="E23" s="135"/>
      <c r="F23" s="135"/>
      <c r="G23" s="135"/>
      <c r="H23" s="135"/>
    </row>
    <row r="24" spans="1:16" ht="7.55" customHeight="1" x14ac:dyDescent="0.3">
      <c r="I24" s="65"/>
    </row>
    <row r="25" spans="1:16" ht="18.350000000000001" x14ac:dyDescent="0.35">
      <c r="A25" s="136" t="s">
        <v>36</v>
      </c>
      <c r="B25" s="136"/>
      <c r="C25" s="136"/>
      <c r="D25" s="136"/>
      <c r="E25" s="136"/>
      <c r="F25" s="136"/>
      <c r="G25" s="136"/>
      <c r="H25" s="136"/>
    </row>
    <row r="26" spans="1:16" ht="33.4" x14ac:dyDescent="0.3">
      <c r="A26" s="66" t="s">
        <v>37</v>
      </c>
      <c r="B26" s="99" t="s">
        <v>38</v>
      </c>
      <c r="C26" s="66" t="s">
        <v>39</v>
      </c>
      <c r="D26" s="105" t="s">
        <v>40</v>
      </c>
      <c r="E26" s="104" t="s">
        <v>41</v>
      </c>
      <c r="F26" s="130" t="s">
        <v>42</v>
      </c>
      <c r="G26" s="130"/>
      <c r="H26" s="75" t="s">
        <v>43</v>
      </c>
      <c r="I26" s="30"/>
    </row>
    <row r="27" spans="1:16" ht="15.75" x14ac:dyDescent="0.3">
      <c r="A27" s="17" t="s">
        <v>44</v>
      </c>
      <c r="B27" s="100" t="str">
        <f>'Sensor Specification'!B34</f>
        <v>on spool</v>
      </c>
      <c r="C27" s="67">
        <f>'Sensor Specification'!C34+'Sensor Specification'!B71+'Sensor Specification'!B72</f>
        <v>10150</v>
      </c>
      <c r="D27" s="107" t="s">
        <v>45</v>
      </c>
      <c r="E27" s="106">
        <v>1</v>
      </c>
      <c r="F27" s="129" t="s">
        <v>46</v>
      </c>
      <c r="G27" s="129"/>
      <c r="H27" s="17" t="s">
        <v>47</v>
      </c>
      <c r="I27" s="30"/>
    </row>
    <row r="28" spans="1:16" ht="7.55" customHeight="1" x14ac:dyDescent="0.3">
      <c r="A28" s="68"/>
      <c r="B28" s="69"/>
      <c r="C28" s="69"/>
      <c r="D28" s="31"/>
      <c r="E28" s="46"/>
      <c r="F28" s="70"/>
      <c r="G28" s="35"/>
      <c r="H28" s="31"/>
      <c r="P28" s="71"/>
    </row>
    <row r="29" spans="1:16" ht="18.350000000000001" x14ac:dyDescent="0.35">
      <c r="A29" s="123" t="s">
        <v>48</v>
      </c>
      <c r="B29" s="123"/>
      <c r="C29" s="123"/>
      <c r="D29" s="123"/>
      <c r="E29" s="123"/>
      <c r="F29" s="123"/>
      <c r="G29" s="123"/>
      <c r="H29" s="123"/>
      <c r="L29" s="72"/>
      <c r="M29" s="72"/>
      <c r="N29" s="72"/>
      <c r="P29" s="73"/>
    </row>
    <row r="30" spans="1:16" ht="31.45" x14ac:dyDescent="0.3">
      <c r="A30" s="74" t="s">
        <v>49</v>
      </c>
      <c r="B30" s="75" t="s">
        <v>23</v>
      </c>
      <c r="C30" s="75" t="s">
        <v>50</v>
      </c>
      <c r="D30" s="75" t="s">
        <v>51</v>
      </c>
      <c r="E30" s="75" t="s">
        <v>52</v>
      </c>
      <c r="F30" s="98"/>
      <c r="G30" s="37"/>
      <c r="H30" s="30"/>
      <c r="M30" s="30"/>
    </row>
    <row r="31" spans="1:16" ht="15.75" x14ac:dyDescent="0.3">
      <c r="A31" s="76" t="str">
        <f>IF(ISBLANK('Sensor Specification'!A38),"",'Sensor Specification'!A38)</f>
        <v>FBG1</v>
      </c>
      <c r="B31" s="77">
        <f>IF(ISNUMBER('Sensor Specification'!B38),'Sensor Specification'!B38,"")</f>
        <v>1550.39</v>
      </c>
      <c r="C31" s="77">
        <f>IF(ISNUMBER('Sensor Specification'!C38),'Sensor Specification'!C38+'Sensor Specification'!$B$71,"")</f>
        <v>5050</v>
      </c>
      <c r="D31" s="77">
        <f>IF(ISNUMBER('Sensor Specification'!D38),'Sensor Specification'!D38+'Sensor Specification'!$B$72,"")</f>
        <v>5100</v>
      </c>
      <c r="E31" s="77" t="s">
        <v>31</v>
      </c>
      <c r="F31" s="11"/>
      <c r="G31" s="90"/>
      <c r="H31" s="90"/>
      <c r="I31" s="65"/>
      <c r="M31" s="30"/>
    </row>
    <row r="32" spans="1:16" ht="15.75" x14ac:dyDescent="0.3">
      <c r="A32" s="76" t="str">
        <f>IF(ISBLANK('Sensor Specification'!A39),"",'Sensor Specification'!A39)</f>
        <v>FBG2</v>
      </c>
      <c r="B32" s="77">
        <f>IF(ISNUMBER('Sensor Specification'!B39),'Sensor Specification'!B39,"")</f>
        <v>1550.39</v>
      </c>
      <c r="C32" s="77">
        <f>IF(ISNUMBER('Sensor Specification'!C39),'Sensor Specification'!C39+'Sensor Specification'!$B$71,"")</f>
        <v>5100</v>
      </c>
      <c r="D32" s="77">
        <f>IF(ISNUMBER('Sensor Specification'!D39),'Sensor Specification'!D39+'Sensor Specification'!$B$72,"")</f>
        <v>5050</v>
      </c>
      <c r="E32" s="77">
        <f t="shared" ref="E32:E55" si="0">IF(ISNUMBER(C32),C32-C31,"")</f>
        <v>50</v>
      </c>
      <c r="F32" s="11"/>
      <c r="G32" s="92"/>
      <c r="H32" s="92"/>
      <c r="I32" s="65"/>
      <c r="L32" s="37"/>
      <c r="M32" s="36"/>
      <c r="N32" s="78"/>
      <c r="O32" s="79"/>
    </row>
    <row r="33" spans="1:15" ht="15.75" x14ac:dyDescent="0.3">
      <c r="A33" s="76" t="str">
        <f>IF(ISBLANK('Sensor Specification'!A40),"",'Sensor Specification'!A40)</f>
        <v/>
      </c>
      <c r="B33" s="77" t="str">
        <f>IF(ISNUMBER('Sensor Specification'!B40),'Sensor Specification'!B40,"")</f>
        <v/>
      </c>
      <c r="C33" s="77" t="str">
        <f>IF(ISNUMBER('Sensor Specification'!C40),'Sensor Specification'!C40+'Sensor Specification'!$B$71,"")</f>
        <v/>
      </c>
      <c r="D33" s="77" t="str">
        <f>IF(ISNUMBER('Sensor Specification'!D40),'Sensor Specification'!D40+'Sensor Specification'!$B$72,"")</f>
        <v/>
      </c>
      <c r="E33" s="77" t="str">
        <f t="shared" si="0"/>
        <v/>
      </c>
      <c r="F33" s="11"/>
      <c r="G33" s="93"/>
      <c r="H33" s="93"/>
      <c r="I33" s="65"/>
      <c r="L33" s="80"/>
      <c r="M33" s="37"/>
    </row>
    <row r="34" spans="1:15" ht="15.75" x14ac:dyDescent="0.3">
      <c r="A34" s="76" t="str">
        <f>IF(ISBLANK('Sensor Specification'!A41),"",'Sensor Specification'!A41)</f>
        <v/>
      </c>
      <c r="B34" s="77" t="str">
        <f>IF(ISNUMBER('Sensor Specification'!B41),'Sensor Specification'!B41,"")</f>
        <v/>
      </c>
      <c r="C34" s="77" t="str">
        <f>IF(ISNUMBER('Sensor Specification'!C41),'Sensor Specification'!C41+'Sensor Specification'!$B$71,"")</f>
        <v/>
      </c>
      <c r="D34" s="77" t="str">
        <f>IF(ISNUMBER('Sensor Specification'!D41),'Sensor Specification'!D41+'Sensor Specification'!$B$72,"")</f>
        <v/>
      </c>
      <c r="E34" s="77" t="str">
        <f t="shared" si="0"/>
        <v/>
      </c>
      <c r="F34" s="11"/>
      <c r="G34" s="37"/>
      <c r="H34" s="37"/>
      <c r="I34" s="65"/>
      <c r="L34" s="80"/>
      <c r="M34" s="35"/>
    </row>
    <row r="35" spans="1:15" ht="15.75" x14ac:dyDescent="0.3">
      <c r="A35" s="76" t="str">
        <f>IF(ISBLANK('Sensor Specification'!A42),"",'Sensor Specification'!A42)</f>
        <v/>
      </c>
      <c r="B35" s="77" t="str">
        <f>IF(ISNUMBER('Sensor Specification'!B42),'Sensor Specification'!B42,"")</f>
        <v/>
      </c>
      <c r="C35" s="77" t="str">
        <f>IF(ISNUMBER('Sensor Specification'!C42),'Sensor Specification'!C42+'Sensor Specification'!$B$71,"")</f>
        <v/>
      </c>
      <c r="D35" s="77" t="str">
        <f>IF(ISNUMBER('Sensor Specification'!D42),'Sensor Specification'!D42+'Sensor Specification'!$B$72,"")</f>
        <v/>
      </c>
      <c r="E35" s="77" t="str">
        <f t="shared" si="0"/>
        <v/>
      </c>
      <c r="F35" s="11"/>
      <c r="G35" s="94"/>
      <c r="H35" s="94"/>
      <c r="I35" s="65"/>
      <c r="L35" s="69"/>
      <c r="M35" s="31"/>
      <c r="N35" s="35"/>
      <c r="O35" s="70"/>
    </row>
    <row r="36" spans="1:15" ht="15.75" x14ac:dyDescent="0.3">
      <c r="A36" s="76" t="str">
        <f>IF(ISBLANK('Sensor Specification'!A43),"",'Sensor Specification'!A43)</f>
        <v/>
      </c>
      <c r="B36" s="77" t="str">
        <f>IF(ISNUMBER('Sensor Specification'!B43),'Sensor Specification'!B43,"")</f>
        <v/>
      </c>
      <c r="C36" s="77" t="str">
        <f>IF(ISNUMBER('Sensor Specification'!C43),'Sensor Specification'!C43+'Sensor Specification'!$B$71,"")</f>
        <v/>
      </c>
      <c r="D36" s="77" t="str">
        <f>IF(ISNUMBER('Sensor Specification'!D43),'Sensor Specification'!D43+'Sensor Specification'!$B$72,"")</f>
        <v/>
      </c>
      <c r="E36" s="77" t="str">
        <f t="shared" si="0"/>
        <v/>
      </c>
      <c r="F36" s="11"/>
      <c r="G36" s="93"/>
      <c r="H36" s="93"/>
      <c r="I36" s="65"/>
      <c r="L36" s="30"/>
      <c r="M36" s="30"/>
    </row>
    <row r="37" spans="1:15" ht="15.75" x14ac:dyDescent="0.3">
      <c r="A37" s="76" t="str">
        <f>IF(ISBLANK('Sensor Specification'!A44),"",'Sensor Specification'!A44)</f>
        <v/>
      </c>
      <c r="B37" s="77" t="str">
        <f>IF(ISNUMBER('Sensor Specification'!B44),'Sensor Specification'!B44,"")</f>
        <v/>
      </c>
      <c r="C37" s="77" t="str">
        <f>IF(ISNUMBER('Sensor Specification'!C44),'Sensor Specification'!C44+'Sensor Specification'!$B$71,"")</f>
        <v/>
      </c>
      <c r="D37" s="77" t="str">
        <f>IF(ISNUMBER('Sensor Specification'!D44),'Sensor Specification'!D44+'Sensor Specification'!$B$72,"")</f>
        <v/>
      </c>
      <c r="E37" s="77" t="str">
        <f t="shared" si="0"/>
        <v/>
      </c>
      <c r="F37" s="11"/>
      <c r="I37" s="65"/>
      <c r="L37" s="30"/>
      <c r="M37" s="30"/>
    </row>
    <row r="38" spans="1:15" ht="15.75" x14ac:dyDescent="0.3">
      <c r="A38" s="76" t="str">
        <f>IF(ISBLANK('Sensor Specification'!A45),"",'Sensor Specification'!A45)</f>
        <v/>
      </c>
      <c r="B38" s="77" t="str">
        <f>IF(ISNUMBER('Sensor Specification'!B45),'Sensor Specification'!B45,"")</f>
        <v/>
      </c>
      <c r="C38" s="77" t="str">
        <f>IF(ISNUMBER('Sensor Specification'!C45),'Sensor Specification'!C45+'Sensor Specification'!$B$71,"")</f>
        <v/>
      </c>
      <c r="D38" s="77" t="str">
        <f>IF(ISNUMBER('Sensor Specification'!D45),'Sensor Specification'!D45+'Sensor Specification'!$B$72,"")</f>
        <v/>
      </c>
      <c r="E38" s="77" t="str">
        <f t="shared" si="0"/>
        <v/>
      </c>
      <c r="F38" s="11"/>
      <c r="G38" s="95"/>
      <c r="H38" s="95"/>
      <c r="I38" s="65"/>
      <c r="L38" s="30"/>
      <c r="M38" s="30"/>
    </row>
    <row r="39" spans="1:15" ht="15.75" x14ac:dyDescent="0.3">
      <c r="A39" s="76" t="str">
        <f>IF(ISBLANK('Sensor Specification'!A46),"",'Sensor Specification'!A46)</f>
        <v/>
      </c>
      <c r="B39" s="77" t="str">
        <f>IF(ISNUMBER('Sensor Specification'!B46),'Sensor Specification'!B46,"")</f>
        <v/>
      </c>
      <c r="C39" s="77" t="str">
        <f>IF(ISNUMBER('Sensor Specification'!C46),'Sensor Specification'!C46+'Sensor Specification'!$B$71,"")</f>
        <v/>
      </c>
      <c r="D39" s="77" t="str">
        <f>IF(ISNUMBER('Sensor Specification'!D46),'Sensor Specification'!D46+'Sensor Specification'!$B$72,"")</f>
        <v/>
      </c>
      <c r="E39" s="77" t="str">
        <f t="shared" si="0"/>
        <v/>
      </c>
      <c r="F39" s="11"/>
      <c r="G39" s="96"/>
      <c r="H39" s="96"/>
      <c r="L39" s="30"/>
      <c r="M39" s="30"/>
    </row>
    <row r="40" spans="1:15" ht="15.75" x14ac:dyDescent="0.3">
      <c r="A40" s="76" t="str">
        <f>IF(ISBLANK('Sensor Specification'!A47),"",'Sensor Specification'!A47)</f>
        <v/>
      </c>
      <c r="B40" s="77" t="str">
        <f>IF(ISNUMBER('Sensor Specification'!B47),'Sensor Specification'!B47,"")</f>
        <v/>
      </c>
      <c r="C40" s="77" t="str">
        <f>IF(ISNUMBER('Sensor Specification'!C47),'Sensor Specification'!C47+'Sensor Specification'!$B$71,"")</f>
        <v/>
      </c>
      <c r="D40" s="77" t="str">
        <f>IF(ISNUMBER('Sensor Specification'!D47),'Sensor Specification'!D47+'Sensor Specification'!$B$72,"")</f>
        <v/>
      </c>
      <c r="E40" s="77" t="str">
        <f t="shared" si="0"/>
        <v/>
      </c>
      <c r="F40" s="11"/>
      <c r="G40" s="30"/>
      <c r="H40" s="30"/>
      <c r="L40" s="30"/>
      <c r="M40" s="30"/>
    </row>
    <row r="41" spans="1:15" ht="15.75" x14ac:dyDescent="0.3">
      <c r="A41" s="76" t="str">
        <f>IF(ISBLANK('Sensor Specification'!A48),"",'Sensor Specification'!A48)</f>
        <v/>
      </c>
      <c r="B41" s="77" t="str">
        <f>IF(ISNUMBER('Sensor Specification'!B48),'Sensor Specification'!B48,"")</f>
        <v/>
      </c>
      <c r="C41" s="77" t="str">
        <f>IF(ISNUMBER('Sensor Specification'!C48),'Sensor Specification'!C48+'Sensor Specification'!$B$71,"")</f>
        <v/>
      </c>
      <c r="D41" s="77" t="str">
        <f>IF(ISNUMBER('Sensor Specification'!D48),'Sensor Specification'!D48+'Sensor Specification'!$B$72,"")</f>
        <v/>
      </c>
      <c r="E41" s="77" t="str">
        <f t="shared" si="0"/>
        <v/>
      </c>
      <c r="F41" s="11"/>
      <c r="G41" s="96"/>
      <c r="H41" s="96"/>
      <c r="L41" s="30"/>
      <c r="M41" s="30"/>
    </row>
    <row r="42" spans="1:15" ht="15.75" x14ac:dyDescent="0.3">
      <c r="A42" s="76" t="str">
        <f>IF(ISBLANK('Sensor Specification'!A49),"",'Sensor Specification'!A49)</f>
        <v/>
      </c>
      <c r="B42" s="77" t="str">
        <f>IF(ISNUMBER('Sensor Specification'!B49),'Sensor Specification'!B49,"")</f>
        <v/>
      </c>
      <c r="C42" s="77" t="str">
        <f>IF(ISNUMBER('Sensor Specification'!C49),'Sensor Specification'!C49+'Sensor Specification'!$B$71,"")</f>
        <v/>
      </c>
      <c r="D42" s="77" t="str">
        <f>IF(ISNUMBER('Sensor Specification'!D49),'Sensor Specification'!D49+'Sensor Specification'!$B$72,"")</f>
        <v/>
      </c>
      <c r="E42" s="77" t="str">
        <f t="shared" si="0"/>
        <v/>
      </c>
      <c r="F42" s="11"/>
      <c r="G42" s="97"/>
      <c r="H42" s="97"/>
      <c r="L42" s="30"/>
      <c r="M42" s="30"/>
    </row>
    <row r="43" spans="1:15" ht="15.75" x14ac:dyDescent="0.3">
      <c r="A43" s="76" t="str">
        <f>IF(ISBLANK('Sensor Specification'!A50),"",'Sensor Specification'!A50)</f>
        <v/>
      </c>
      <c r="B43" s="77" t="str">
        <f>IF(ISNUMBER('Sensor Specification'!B50),'Sensor Specification'!B50,"")</f>
        <v/>
      </c>
      <c r="C43" s="77" t="str">
        <f>IF(ISNUMBER('Sensor Specification'!C50),'Sensor Specification'!C50+'Sensor Specification'!$B$71,"")</f>
        <v/>
      </c>
      <c r="D43" s="77" t="str">
        <f>IF(ISNUMBER('Sensor Specification'!D50),'Sensor Specification'!D50+'Sensor Specification'!$B$72,"")</f>
        <v/>
      </c>
      <c r="E43" s="77" t="str">
        <f t="shared" si="0"/>
        <v/>
      </c>
      <c r="F43" s="11"/>
      <c r="G43" s="96"/>
      <c r="H43" s="96"/>
      <c r="L43" s="30"/>
      <c r="M43" s="30"/>
    </row>
    <row r="44" spans="1:15" ht="15.75" x14ac:dyDescent="0.3">
      <c r="A44" s="76" t="str">
        <f>IF(ISBLANK('Sensor Specification'!A51),"",'Sensor Specification'!A51)</f>
        <v/>
      </c>
      <c r="B44" s="77" t="str">
        <f>IF(ISNUMBER('Sensor Specification'!B51),'Sensor Specification'!B51,"")</f>
        <v/>
      </c>
      <c r="C44" s="77" t="str">
        <f>IF(ISNUMBER('Sensor Specification'!C51),'Sensor Specification'!C51+'Sensor Specification'!$B$71,"")</f>
        <v/>
      </c>
      <c r="D44" s="77" t="str">
        <f>IF(ISNUMBER('Sensor Specification'!D51),'Sensor Specification'!D51+'Sensor Specification'!$B$72,"")</f>
        <v/>
      </c>
      <c r="E44" s="77" t="str">
        <f t="shared" si="0"/>
        <v/>
      </c>
      <c r="F44" s="11"/>
      <c r="G44" s="30"/>
      <c r="H44" s="30"/>
      <c r="J44" s="30"/>
      <c r="K44" s="30"/>
      <c r="L44" s="30"/>
      <c r="M44" s="30"/>
    </row>
    <row r="45" spans="1:15" ht="15.75" x14ac:dyDescent="0.3">
      <c r="A45" s="76" t="str">
        <f>IF(ISBLANK('Sensor Specification'!A52),"",'Sensor Specification'!A52)</f>
        <v/>
      </c>
      <c r="B45" s="77" t="str">
        <f>IF(ISNUMBER('Sensor Specification'!B52),'Sensor Specification'!B52,"")</f>
        <v/>
      </c>
      <c r="C45" s="77" t="str">
        <f>IF(ISNUMBER('Sensor Specification'!C52),'Sensor Specification'!C52+'Sensor Specification'!$B$71,"")</f>
        <v/>
      </c>
      <c r="D45" s="77" t="str">
        <f>IF(ISNUMBER('Sensor Specification'!D52),'Sensor Specification'!D52+'Sensor Specification'!$B$72,"")</f>
        <v/>
      </c>
      <c r="E45" s="77" t="str">
        <f t="shared" si="0"/>
        <v/>
      </c>
      <c r="F45" s="11"/>
      <c r="G45" s="92"/>
      <c r="H45" s="92"/>
      <c r="J45" s="30"/>
      <c r="K45" s="30"/>
    </row>
    <row r="46" spans="1:15" ht="15.75" x14ac:dyDescent="0.3">
      <c r="A46" s="76" t="str">
        <f>IF(ISBLANK('Sensor Specification'!A53),"",'Sensor Specification'!A53)</f>
        <v/>
      </c>
      <c r="B46" s="77" t="str">
        <f>IF(ISNUMBER('Sensor Specification'!B53),'Sensor Specification'!B53,"")</f>
        <v/>
      </c>
      <c r="C46" s="77" t="str">
        <f>IF(ISNUMBER('Sensor Specification'!C53),'Sensor Specification'!C53+'Sensor Specification'!$B$71,"")</f>
        <v/>
      </c>
      <c r="D46" s="77" t="str">
        <f>IF(ISNUMBER('Sensor Specification'!D53),'Sensor Specification'!D53+'Sensor Specification'!$B$72,"")</f>
        <v/>
      </c>
      <c r="E46" s="77" t="str">
        <f t="shared" si="0"/>
        <v/>
      </c>
      <c r="F46" s="11"/>
      <c r="G46" s="31"/>
      <c r="H46" s="31"/>
    </row>
    <row r="47" spans="1:15" ht="15.75" x14ac:dyDescent="0.3">
      <c r="A47" s="76" t="str">
        <f>IF(ISBLANK('Sensor Specification'!A54),"",'Sensor Specification'!A54)</f>
        <v/>
      </c>
      <c r="B47" s="77" t="str">
        <f>IF(ISNUMBER('Sensor Specification'!B54),'Sensor Specification'!B54,"")</f>
        <v/>
      </c>
      <c r="C47" s="77" t="str">
        <f>IF(ISNUMBER('Sensor Specification'!C54),'Sensor Specification'!C54+'Sensor Specification'!$B$71,"")</f>
        <v/>
      </c>
      <c r="D47" s="77" t="str">
        <f>IF(ISNUMBER('Sensor Specification'!D54),'Sensor Specification'!D54+'Sensor Specification'!$B$72,"")</f>
        <v/>
      </c>
      <c r="E47" s="77" t="str">
        <f t="shared" si="0"/>
        <v/>
      </c>
      <c r="F47" s="11"/>
      <c r="G47" s="30"/>
      <c r="H47" s="30"/>
    </row>
    <row r="48" spans="1:15" ht="15.75" x14ac:dyDescent="0.3">
      <c r="A48" s="76" t="str">
        <f>IF(ISBLANK('Sensor Specification'!A55),"",'Sensor Specification'!A55)</f>
        <v/>
      </c>
      <c r="B48" s="77" t="str">
        <f>IF(ISNUMBER('Sensor Specification'!B55),'Sensor Specification'!B55,"")</f>
        <v/>
      </c>
      <c r="C48" s="77" t="str">
        <f>IF(ISNUMBER('Sensor Specification'!C55),'Sensor Specification'!C55+'Sensor Specification'!$B$71,"")</f>
        <v/>
      </c>
      <c r="D48" s="77" t="str">
        <f>IF(ISNUMBER('Sensor Specification'!D55),'Sensor Specification'!D55+'Sensor Specification'!$B$72,"")</f>
        <v/>
      </c>
      <c r="E48" s="77" t="str">
        <f t="shared" si="0"/>
        <v/>
      </c>
      <c r="F48" s="11"/>
      <c r="G48" s="93"/>
      <c r="H48" s="93"/>
    </row>
    <row r="49" spans="1:8" ht="15.75" x14ac:dyDescent="0.3">
      <c r="A49" s="76" t="str">
        <f>IF(ISBLANK('Sensor Specification'!A56),"",'Sensor Specification'!A56)</f>
        <v/>
      </c>
      <c r="B49" s="77" t="str">
        <f>IF(ISNUMBER('Sensor Specification'!B56),'Sensor Specification'!B56,"")</f>
        <v/>
      </c>
      <c r="C49" s="77" t="str">
        <f>IF(ISNUMBER('Sensor Specification'!C56),'Sensor Specification'!C56+'Sensor Specification'!$B$71,"")</f>
        <v/>
      </c>
      <c r="D49" s="77" t="str">
        <f>IF(ISNUMBER('Sensor Specification'!D56),'Sensor Specification'!D56+'Sensor Specification'!$B$72,"")</f>
        <v/>
      </c>
      <c r="E49" s="77" t="str">
        <f t="shared" si="0"/>
        <v/>
      </c>
      <c r="F49" s="11"/>
      <c r="G49" s="35"/>
      <c r="H49" s="30"/>
    </row>
    <row r="50" spans="1:8" ht="15.75" x14ac:dyDescent="0.3">
      <c r="A50" s="76" t="str">
        <f>IF(ISBLANK('Sensor Specification'!A57),"",'Sensor Specification'!A57)</f>
        <v/>
      </c>
      <c r="B50" s="77" t="str">
        <f>IF(ISNUMBER('Sensor Specification'!B57),'Sensor Specification'!B57,"")</f>
        <v/>
      </c>
      <c r="C50" s="77" t="str">
        <f>IF(ISNUMBER('Sensor Specification'!C57),'Sensor Specification'!C57+'Sensor Specification'!$B$71,"")</f>
        <v/>
      </c>
      <c r="D50" s="77" t="str">
        <f>IF(ISNUMBER('Sensor Specification'!D57),'Sensor Specification'!D57+'Sensor Specification'!$B$72,"")</f>
        <v/>
      </c>
      <c r="E50" s="77" t="str">
        <f t="shared" si="0"/>
        <v/>
      </c>
      <c r="F50" s="11"/>
      <c r="G50" s="35"/>
      <c r="H50" s="30"/>
    </row>
    <row r="51" spans="1:8" ht="15.75" x14ac:dyDescent="0.3">
      <c r="A51" s="76" t="str">
        <f>IF(ISBLANK('Sensor Specification'!A58),"",'Sensor Specification'!A58)</f>
        <v/>
      </c>
      <c r="B51" s="77" t="str">
        <f>IF(ISNUMBER('Sensor Specification'!B58),'Sensor Specification'!B58,"")</f>
        <v/>
      </c>
      <c r="C51" s="77" t="str">
        <f>IF(ISNUMBER('Sensor Specification'!C58),'Sensor Specification'!C58+'Sensor Specification'!$B$71,"")</f>
        <v/>
      </c>
      <c r="D51" s="77" t="str">
        <f>IF(ISNUMBER('Sensor Specification'!D58),'Sensor Specification'!D58+'Sensor Specification'!$B$72,"")</f>
        <v/>
      </c>
      <c r="E51" s="77" t="str">
        <f t="shared" si="0"/>
        <v/>
      </c>
      <c r="F51" s="11"/>
      <c r="G51" s="35"/>
      <c r="H51" s="30"/>
    </row>
    <row r="52" spans="1:8" ht="15.75" x14ac:dyDescent="0.3">
      <c r="A52" s="76" t="str">
        <f>IF(ISBLANK('Sensor Specification'!A59),"",'Sensor Specification'!A59)</f>
        <v/>
      </c>
      <c r="B52" s="77" t="str">
        <f>IF(ISNUMBER('Sensor Specification'!B59),'Sensor Specification'!B59,"")</f>
        <v/>
      </c>
      <c r="C52" s="77" t="str">
        <f>IF(ISNUMBER('Sensor Specification'!C59),'Sensor Specification'!C59+'Sensor Specification'!$B$71,"")</f>
        <v/>
      </c>
      <c r="D52" s="77" t="str">
        <f>IF(ISNUMBER('Sensor Specification'!D59),'Sensor Specification'!D59+'Sensor Specification'!$B$72,"")</f>
        <v/>
      </c>
      <c r="E52" s="77" t="str">
        <f t="shared" si="0"/>
        <v/>
      </c>
      <c r="F52" s="11"/>
      <c r="G52" s="35"/>
      <c r="H52" s="30"/>
    </row>
    <row r="53" spans="1:8" ht="15.75" x14ac:dyDescent="0.3">
      <c r="A53" s="76" t="str">
        <f>IF(ISBLANK('Sensor Specification'!A60),"",'Sensor Specification'!A60)</f>
        <v/>
      </c>
      <c r="B53" s="77" t="str">
        <f>IF(ISNUMBER('Sensor Specification'!B60),'Sensor Specification'!B60,"")</f>
        <v/>
      </c>
      <c r="C53" s="77" t="str">
        <f>IF(ISNUMBER('Sensor Specification'!C60),'Sensor Specification'!C60+'Sensor Specification'!$B$71,"")</f>
        <v/>
      </c>
      <c r="D53" s="77" t="str">
        <f>IF(ISNUMBER('Sensor Specification'!D60),'Sensor Specification'!D60+'Sensor Specification'!$B$72,"")</f>
        <v/>
      </c>
      <c r="E53" s="77" t="str">
        <f t="shared" si="0"/>
        <v/>
      </c>
      <c r="F53" s="11"/>
      <c r="G53" s="131" t="s">
        <v>53</v>
      </c>
      <c r="H53" s="131"/>
    </row>
    <row r="54" spans="1:8" ht="15.75" x14ac:dyDescent="0.3">
      <c r="A54" s="76" t="str">
        <f>IF(ISBLANK('Sensor Specification'!A61),"",'Sensor Specification'!A61)</f>
        <v/>
      </c>
      <c r="B54" s="77" t="str">
        <f>IF(ISNUMBER('Sensor Specification'!B61),'Sensor Specification'!B61,"")</f>
        <v/>
      </c>
      <c r="C54" s="77" t="str">
        <f>IF(ISNUMBER('Sensor Specification'!C61),'Sensor Specification'!C61+'Sensor Specification'!$B$71,"")</f>
        <v/>
      </c>
      <c r="D54" s="77" t="str">
        <f>IF(ISNUMBER('Sensor Specification'!D61),'Sensor Specification'!D61+'Sensor Specification'!$B$72,"")</f>
        <v/>
      </c>
      <c r="E54" s="77" t="str">
        <f t="shared" si="0"/>
        <v/>
      </c>
      <c r="F54" s="11"/>
      <c r="G54" s="131"/>
      <c r="H54" s="131"/>
    </row>
    <row r="55" spans="1:8" ht="15.75" x14ac:dyDescent="0.3">
      <c r="A55" s="76" t="str">
        <f>IF(ISBLANK('Sensor Specification'!A62),"",'Sensor Specification'!A62)</f>
        <v/>
      </c>
      <c r="B55" s="77" t="str">
        <f>IF(ISNUMBER('Sensor Specification'!B62),'Sensor Specification'!B62,"")</f>
        <v/>
      </c>
      <c r="C55" s="77" t="str">
        <f>IF(ISNUMBER('Sensor Specification'!C62),'Sensor Specification'!C62+'Sensor Specification'!$B$71,"")</f>
        <v/>
      </c>
      <c r="D55" s="77" t="str">
        <f>IF(ISNUMBER('Sensor Specification'!D62),'Sensor Specification'!D62+'Sensor Specification'!$B$72,"")</f>
        <v/>
      </c>
      <c r="E55" s="77" t="str">
        <f t="shared" si="0"/>
        <v/>
      </c>
      <c r="F55" s="11"/>
      <c r="G55" s="122" t="s">
        <v>54</v>
      </c>
      <c r="H55" s="122"/>
    </row>
    <row r="56" spans="1:8" ht="15.75" x14ac:dyDescent="0.3">
      <c r="A56" s="81"/>
      <c r="B56" s="81"/>
      <c r="C56" s="81"/>
      <c r="D56" s="81"/>
      <c r="E56" s="81"/>
      <c r="F56" s="30"/>
      <c r="G56" s="35"/>
      <c r="H56" s="30"/>
    </row>
    <row r="57" spans="1:8" ht="15.75" x14ac:dyDescent="0.3">
      <c r="A57" s="81"/>
      <c r="B57" s="81"/>
      <c r="C57" s="81"/>
      <c r="D57" s="81"/>
      <c r="E57" s="81"/>
      <c r="F57" s="30"/>
      <c r="G57" s="35"/>
      <c r="H57" s="30"/>
    </row>
    <row r="58" spans="1:8" ht="43.55" customHeight="1" x14ac:dyDescent="0.3">
      <c r="A58" s="124" t="s">
        <v>10</v>
      </c>
      <c r="B58" s="125"/>
      <c r="C58" s="126" t="s">
        <v>55</v>
      </c>
      <c r="D58" s="127"/>
      <c r="E58" s="127"/>
      <c r="F58" s="128"/>
      <c r="G58" s="35"/>
      <c r="H58" s="30"/>
    </row>
    <row r="59" spans="1:8" ht="15.75" x14ac:dyDescent="0.3">
      <c r="A59" s="30"/>
      <c r="B59" s="30"/>
      <c r="C59" s="30"/>
      <c r="D59" s="30"/>
      <c r="E59" s="30"/>
      <c r="F59" s="30"/>
      <c r="G59" s="35"/>
      <c r="H59" s="30"/>
    </row>
    <row r="60" spans="1:8" ht="15.75" x14ac:dyDescent="0.3">
      <c r="A60" s="30"/>
      <c r="B60" s="30"/>
      <c r="C60" s="30"/>
      <c r="D60" s="30"/>
      <c r="E60" s="30"/>
      <c r="F60" s="30"/>
      <c r="G60" s="35"/>
      <c r="H60" s="30"/>
    </row>
    <row r="61" spans="1:8" ht="15.75" x14ac:dyDescent="0.3">
      <c r="A61" s="30"/>
      <c r="B61" s="30"/>
      <c r="C61" s="30"/>
      <c r="D61" s="30"/>
      <c r="E61" s="30"/>
      <c r="F61" s="30"/>
      <c r="G61" s="30"/>
      <c r="H61" s="30"/>
    </row>
    <row r="62" spans="1:8" ht="15.75" x14ac:dyDescent="0.3">
      <c r="A62" s="30"/>
      <c r="B62" s="30"/>
      <c r="C62" s="30"/>
      <c r="D62" s="30"/>
      <c r="E62" s="30"/>
      <c r="F62" s="30"/>
      <c r="G62" s="30"/>
      <c r="H62" s="30"/>
    </row>
    <row r="63" spans="1:8" ht="15.75" x14ac:dyDescent="0.3">
      <c r="A63" s="30"/>
      <c r="B63" s="30"/>
      <c r="C63" s="30"/>
      <c r="D63" s="30"/>
      <c r="E63" s="30"/>
      <c r="F63" s="30"/>
      <c r="G63" s="30"/>
      <c r="H63" s="30"/>
    </row>
    <row r="64" spans="1:8" ht="15.75" x14ac:dyDescent="0.3">
      <c r="G64" s="30"/>
      <c r="H64" s="30"/>
    </row>
    <row r="65" spans="7:8" ht="15.75" x14ac:dyDescent="0.3">
      <c r="G65" s="30"/>
      <c r="H65" s="30"/>
    </row>
  </sheetData>
  <sheetProtection algorithmName="SHA-512" hashValue="3Y3b19rOJbxCXUZWU0yh+FmbjZw63XTmqYmafhPmM462bpx5NW2jnVZDe+kDthidAcVWRd5IuaVXJ3g9lCVmjw==" saltValue="H9kZ5em7C1WM2OvfeZvewg==" spinCount="100000" sheet="1" objects="1" scenarios="1"/>
  <mergeCells count="23">
    <mergeCell ref="B10:H10"/>
    <mergeCell ref="G55:H55"/>
    <mergeCell ref="A29:H29"/>
    <mergeCell ref="A58:B58"/>
    <mergeCell ref="C58:F58"/>
    <mergeCell ref="F27:G27"/>
    <mergeCell ref="F26:G26"/>
    <mergeCell ref="G53:H54"/>
    <mergeCell ref="A12:H12"/>
    <mergeCell ref="A16:H16"/>
    <mergeCell ref="A22:H22"/>
    <mergeCell ref="A23:H23"/>
    <mergeCell ref="A25:H25"/>
    <mergeCell ref="A6:B6"/>
    <mergeCell ref="C6:D6"/>
    <mergeCell ref="B8:C8"/>
    <mergeCell ref="F5:H5"/>
    <mergeCell ref="A2:E2"/>
    <mergeCell ref="A4:B4"/>
    <mergeCell ref="C4:D4"/>
    <mergeCell ref="A5:B5"/>
    <mergeCell ref="C5:D5"/>
    <mergeCell ref="E8:F8"/>
  </mergeCells>
  <dataValidations count="1">
    <dataValidation allowBlank="1" showDropDown="1" showInputMessage="1" showErrorMessage="1" sqref="A15" xr:uid="{4396636D-2D85-4445-B137-F8728B524F44}"/>
  </dataValidations>
  <pageMargins left="0.7" right="0.7" top="0.78740157499999996" bottom="0.78740157499999996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E0C7261-B090-438E-BBE5-3B89431C390F}">
          <x14:formula1>
            <xm:f>Definitions!$Q$2:$Q$3</xm:f>
          </x14:formula1>
          <xm:sqref>A27</xm:sqref>
        </x14:dataValidation>
        <x14:dataValidation type="list" allowBlank="1" showInputMessage="1" showErrorMessage="1" xr:uid="{ACEABD89-7930-4C2A-802F-FCB3EEFFD214}">
          <x14:formula1>
            <xm:f>Definitions!$U$2:$U$6</xm:f>
          </x14:formula1>
          <xm:sqref>H27</xm:sqref>
        </x14:dataValidation>
        <x14:dataValidation type="list" allowBlank="1" showInputMessage="1" showErrorMessage="1" xr:uid="{E1FEB099-3DA4-475B-9B82-61175067E805}">
          <x14:formula1>
            <xm:f>Definitions!$O$2:$O$3</xm:f>
          </x14:formula1>
          <xm:sqref>H18</xm:sqref>
        </x14:dataValidation>
        <x14:dataValidation type="list" allowBlank="1" showInputMessage="1" showErrorMessage="1" xr:uid="{BA49E40D-FBEB-457B-A878-D870661D2546}">
          <x14:formula1>
            <xm:f>Definitions!$K$2:$K$3</xm:f>
          </x14:formula1>
          <xm:sqref>H14</xm:sqref>
        </x14:dataValidation>
        <x14:dataValidation type="list" allowBlank="1" showInputMessage="1" showErrorMessage="1" xr:uid="{C7927879-AECF-4BB7-9309-ABB8F2AEF913}">
          <x14:formula1>
            <xm:f>Definitions!$AR$2:$AR$3</xm:f>
          </x14:formula1>
          <xm:sqref>D27</xm:sqref>
        </x14:dataValidation>
        <x14:dataValidation type="list" allowBlank="1" showInputMessage="1" showErrorMessage="1" xr:uid="{B0895D64-0BB2-4AC8-AF7F-502A32BC3AAE}">
          <x14:formula1>
            <xm:f>Definitions!$C$2:$C$16</xm:f>
          </x14:formula1>
          <xm:sqref>A14</xm:sqref>
        </x14:dataValidation>
        <x14:dataValidation type="list" allowBlank="1" showInputMessage="1" showErrorMessage="1" xr:uid="{15B8922D-AEFB-4006-9537-9A1DFFED3177}">
          <x14:formula1>
            <xm:f>Definitions!$S$2:$S$5</xm:f>
          </x14:formula1>
          <xm:sqref>F27:G27</xm:sqref>
        </x14:dataValidation>
        <x14:dataValidation type="list" allowBlank="1" showInputMessage="1" showErrorMessage="1" xr:uid="{E4151889-A4DF-4F82-9030-77446ADDCDA6}">
          <x14:formula1>
            <xm:f>Definitions!$A$2:$A$10</xm:f>
          </x14:formula1>
          <xm:sqref>E8:F8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33F7-6F47-464E-B2B0-C0B398403327}">
  <sheetPr codeName="Tabelle1"/>
  <dimension ref="A1:P72"/>
  <sheetViews>
    <sheetView tabSelected="1" zoomScaleNormal="100" workbookViewId="0">
      <selection activeCell="F5" sqref="F5:H5"/>
    </sheetView>
  </sheetViews>
  <sheetFormatPr defaultColWidth="11.44140625" defaultRowHeight="15.05" x14ac:dyDescent="0.3"/>
  <cols>
    <col min="1" max="1" width="24.33203125" style="21" customWidth="1"/>
    <col min="2" max="8" width="17.109375" style="21" customWidth="1"/>
    <col min="9" max="15" width="11.44140625" style="21"/>
    <col min="16" max="16" width="10.88671875" style="21" bestFit="1" customWidth="1"/>
    <col min="17" max="16384" width="11.44140625" style="21"/>
  </cols>
  <sheetData>
    <row r="1" spans="1:10" ht="64.5" customHeight="1" x14ac:dyDescent="0.3"/>
    <row r="2" spans="1:10" ht="19" thickBot="1" x14ac:dyDescent="0.4">
      <c r="A2" s="115" t="s">
        <v>56</v>
      </c>
      <c r="B2" s="115"/>
      <c r="C2" s="115"/>
      <c r="D2" s="115"/>
      <c r="E2" s="115"/>
      <c r="F2" s="22"/>
      <c r="G2" s="22"/>
      <c r="H2" s="102" t="s">
        <v>168</v>
      </c>
    </row>
    <row r="3" spans="1:10" ht="7.55" customHeight="1" x14ac:dyDescent="0.3"/>
    <row r="4" spans="1:10" ht="18.350000000000001" x14ac:dyDescent="0.3">
      <c r="A4" s="116" t="s">
        <v>1</v>
      </c>
      <c r="B4" s="116"/>
      <c r="C4" s="117"/>
      <c r="D4" s="117"/>
      <c r="E4" s="23" t="s">
        <v>2</v>
      </c>
      <c r="F4" s="19">
        <v>1</v>
      </c>
      <c r="G4" s="25" t="s">
        <v>3</v>
      </c>
      <c r="H4" s="19">
        <v>1</v>
      </c>
    </row>
    <row r="5" spans="1:10" ht="18.350000000000001" x14ac:dyDescent="0.3">
      <c r="A5" s="116" t="s">
        <v>4</v>
      </c>
      <c r="B5" s="116"/>
      <c r="C5" s="117">
        <v>41260018</v>
      </c>
      <c r="D5" s="117"/>
      <c r="E5" s="23" t="s">
        <v>5</v>
      </c>
      <c r="F5" s="173" t="s">
        <v>170</v>
      </c>
      <c r="G5" s="173"/>
      <c r="H5" s="173"/>
    </row>
    <row r="6" spans="1:10" ht="18.350000000000001" x14ac:dyDescent="0.35">
      <c r="A6" s="174"/>
      <c r="B6" s="174"/>
      <c r="C6" s="175"/>
      <c r="D6" s="175"/>
      <c r="E6" s="23" t="s">
        <v>7</v>
      </c>
      <c r="F6" s="3">
        <v>10</v>
      </c>
      <c r="G6" s="27"/>
      <c r="H6" s="27"/>
    </row>
    <row r="7" spans="1:10" ht="7.55" customHeight="1" x14ac:dyDescent="0.3">
      <c r="A7" s="28"/>
      <c r="B7" s="29"/>
      <c r="C7" s="30"/>
      <c r="D7" s="31"/>
    </row>
    <row r="8" spans="1:10" ht="15.75" x14ac:dyDescent="0.3">
      <c r="A8" s="32" t="s">
        <v>8</v>
      </c>
      <c r="B8" s="155"/>
      <c r="C8" s="155"/>
      <c r="D8" s="33"/>
      <c r="E8" s="176"/>
      <c r="F8" s="176"/>
      <c r="G8" s="33"/>
      <c r="H8" s="34"/>
      <c r="I8" s="30"/>
    </row>
    <row r="9" spans="1:10" ht="7.55" customHeight="1" x14ac:dyDescent="0.3">
      <c r="A9" s="35"/>
      <c r="B9" s="36"/>
      <c r="C9" s="29"/>
      <c r="D9" s="37"/>
      <c r="E9" s="38"/>
      <c r="F9" s="38"/>
      <c r="G9" s="38"/>
      <c r="H9" s="38"/>
      <c r="I9" s="30"/>
    </row>
    <row r="10" spans="1:10" ht="46.5" customHeight="1" x14ac:dyDescent="0.3">
      <c r="A10" s="39" t="s">
        <v>57</v>
      </c>
      <c r="B10" s="120" t="s">
        <v>58</v>
      </c>
      <c r="C10" s="120"/>
      <c r="D10" s="120"/>
      <c r="E10" s="120"/>
      <c r="F10" s="120"/>
      <c r="G10" s="120"/>
      <c r="H10" s="120"/>
      <c r="I10" s="30"/>
    </row>
    <row r="11" spans="1:10" ht="7.55" customHeight="1" x14ac:dyDescent="0.3">
      <c r="A11" s="40"/>
      <c r="B11" s="41"/>
      <c r="C11" s="41"/>
      <c r="D11" s="41"/>
      <c r="E11" s="41"/>
      <c r="F11" s="41"/>
      <c r="G11" s="41"/>
      <c r="H11" s="41"/>
      <c r="I11" s="30"/>
    </row>
    <row r="12" spans="1:10" ht="46.5" customHeight="1" x14ac:dyDescent="0.3">
      <c r="A12" s="39" t="s">
        <v>59</v>
      </c>
      <c r="B12" s="172"/>
      <c r="C12" s="172"/>
      <c r="D12" s="172"/>
      <c r="E12" s="172"/>
      <c r="F12" s="172"/>
      <c r="G12" s="172"/>
      <c r="H12" s="172"/>
      <c r="I12" s="30"/>
    </row>
    <row r="13" spans="1:10" ht="7.55" customHeight="1" x14ac:dyDescent="0.3">
      <c r="A13" s="40"/>
      <c r="B13" s="41"/>
      <c r="C13" s="41"/>
      <c r="D13" s="41"/>
      <c r="E13" s="41"/>
      <c r="F13" s="41"/>
      <c r="G13" s="41"/>
      <c r="H13" s="41"/>
      <c r="I13" s="30"/>
    </row>
    <row r="14" spans="1:10" ht="18" customHeight="1" x14ac:dyDescent="0.3">
      <c r="A14" s="156" t="s">
        <v>60</v>
      </c>
      <c r="B14" s="156"/>
      <c r="C14" s="156"/>
      <c r="D14" s="156"/>
      <c r="E14" s="156"/>
      <c r="F14" s="156"/>
      <c r="G14" s="156"/>
      <c r="H14" s="156"/>
      <c r="I14" s="30"/>
    </row>
    <row r="15" spans="1:10" ht="108" customHeight="1" x14ac:dyDescent="0.3">
      <c r="A15" s="157"/>
      <c r="B15" s="157"/>
      <c r="C15" s="157"/>
      <c r="D15" s="157"/>
      <c r="E15" s="157"/>
      <c r="F15" s="157"/>
      <c r="G15" s="157"/>
      <c r="H15" s="157"/>
      <c r="I15" s="30"/>
    </row>
    <row r="16" spans="1:10" ht="15.75" customHeight="1" x14ac:dyDescent="0.3">
      <c r="A16" s="162" t="s">
        <v>60</v>
      </c>
      <c r="B16" s="166" t="s">
        <v>61</v>
      </c>
      <c r="C16" s="164" t="str">
        <f>IF(OR(A18=Drawings!A5, A18=Drawings!A6),"Fiber Length (mm)","")</f>
        <v>Fiber Length (mm)</v>
      </c>
      <c r="D16" s="168" t="str">
        <f>IF(OR(A18=Drawings!A3, A18=Drawings!A4),"Capillary","")</f>
        <v/>
      </c>
      <c r="E16" s="168"/>
      <c r="F16" s="169" t="str">
        <f>IF(OR(A18=Drawings!A4, A18=Drawings!A6),"Tube","")</f>
        <v/>
      </c>
      <c r="G16" s="170"/>
      <c r="H16" s="171"/>
      <c r="I16" s="41"/>
      <c r="J16" s="30"/>
    </row>
    <row r="17" spans="1:10" ht="15.75" x14ac:dyDescent="0.3">
      <c r="A17" s="163"/>
      <c r="B17" s="167"/>
      <c r="C17" s="165"/>
      <c r="D17" s="42" t="str">
        <f>IF(OR(A18=Drawings!A3, A18=Drawings!A4),"Diameter (mm)","")</f>
        <v/>
      </c>
      <c r="E17" s="42" t="str">
        <f>IF(OR(A18=Drawings!A3, A18=Drawings!A4),"Length (mm)","")</f>
        <v/>
      </c>
      <c r="F17" s="42" t="str">
        <f>IF(OR(A18=Drawings!A4, A18=Drawings!A6),"Material","")</f>
        <v/>
      </c>
      <c r="G17" s="43" t="str">
        <f>IF(OR(A18=Drawings!A4, A18=Drawings!A6),"Diameter (mm)","")</f>
        <v/>
      </c>
      <c r="H17" s="42" t="str">
        <f>IF(OR(A18=Drawings!A4, A18=Drawings!A6),"Length (mm)","")</f>
        <v/>
      </c>
      <c r="I17" s="41"/>
      <c r="J17" s="30"/>
    </row>
    <row r="18" spans="1:10" ht="15.75" x14ac:dyDescent="0.3">
      <c r="A18" s="84" t="s">
        <v>161</v>
      </c>
      <c r="B18" s="85" t="s">
        <v>142</v>
      </c>
      <c r="C18" s="4" t="s">
        <v>169</v>
      </c>
      <c r="D18" s="4"/>
      <c r="E18" s="4"/>
      <c r="F18" s="4"/>
      <c r="G18" s="4" t="s">
        <v>164</v>
      </c>
      <c r="H18" s="4"/>
      <c r="I18" s="41"/>
      <c r="J18" s="30"/>
    </row>
    <row r="19" spans="1:10" ht="7.55" customHeight="1" x14ac:dyDescent="0.3">
      <c r="A19" s="40"/>
      <c r="B19" s="44"/>
      <c r="C19" s="44"/>
      <c r="D19" s="44"/>
      <c r="E19" s="44"/>
      <c r="F19" s="44"/>
      <c r="G19" s="44"/>
      <c r="H19" s="44"/>
    </row>
    <row r="20" spans="1:10" ht="18.350000000000001" x14ac:dyDescent="0.3">
      <c r="A20" s="158" t="s">
        <v>64</v>
      </c>
      <c r="B20" s="158"/>
      <c r="C20" s="158"/>
      <c r="D20" s="158"/>
      <c r="E20" s="158"/>
      <c r="F20" s="158"/>
      <c r="G20" s="158"/>
      <c r="H20" s="158"/>
      <c r="I20" s="45"/>
    </row>
    <row r="21" spans="1:10" s="47" customFormat="1" ht="15.75" x14ac:dyDescent="0.3">
      <c r="A21" s="159" t="s">
        <v>65</v>
      </c>
      <c r="B21" s="159"/>
      <c r="C21" s="160" t="s">
        <v>66</v>
      </c>
      <c r="D21" s="159" t="s">
        <v>67</v>
      </c>
      <c r="E21" s="159"/>
      <c r="F21" s="46"/>
      <c r="G21" s="46"/>
      <c r="H21" s="46"/>
      <c r="I21" s="45"/>
    </row>
    <row r="22" spans="1:10" s="47" customFormat="1" ht="15.75" x14ac:dyDescent="0.3">
      <c r="A22" s="48" t="s">
        <v>68</v>
      </c>
      <c r="B22" s="48" t="s">
        <v>69</v>
      </c>
      <c r="C22" s="161"/>
      <c r="D22" s="48" t="s">
        <v>70</v>
      </c>
      <c r="E22" s="48" t="s">
        <v>71</v>
      </c>
      <c r="F22" s="46"/>
      <c r="G22" s="46"/>
      <c r="H22" s="46"/>
      <c r="I22" s="45"/>
    </row>
    <row r="23" spans="1:10" s="47" customFormat="1" ht="15.75" x14ac:dyDescent="0.3">
      <c r="A23" s="17"/>
      <c r="B23" s="17"/>
      <c r="C23" s="17"/>
      <c r="D23" s="17"/>
      <c r="E23" s="17"/>
      <c r="F23" s="50"/>
      <c r="G23" s="51"/>
      <c r="H23" s="36"/>
      <c r="I23" s="45"/>
    </row>
    <row r="24" spans="1:10" ht="7.55" customHeight="1" x14ac:dyDescent="0.3">
      <c r="A24" s="50"/>
      <c r="B24" s="50"/>
      <c r="C24" s="50"/>
      <c r="D24" s="50"/>
      <c r="E24" s="50"/>
      <c r="F24" s="50"/>
      <c r="G24" s="51"/>
      <c r="H24" s="36"/>
      <c r="I24" s="52"/>
    </row>
    <row r="25" spans="1:10" ht="18.350000000000001" x14ac:dyDescent="0.3">
      <c r="A25" s="134" t="s">
        <v>22</v>
      </c>
      <c r="B25" s="134"/>
      <c r="C25" s="134"/>
      <c r="D25" s="134"/>
      <c r="E25" s="134"/>
      <c r="F25" s="134"/>
      <c r="G25" s="134"/>
      <c r="H25" s="148"/>
    </row>
    <row r="26" spans="1:10" ht="15.75" x14ac:dyDescent="0.3">
      <c r="A26" s="53"/>
      <c r="B26" s="53" t="s">
        <v>23</v>
      </c>
      <c r="C26" s="53" t="s">
        <v>24</v>
      </c>
      <c r="D26" s="53" t="s">
        <v>25</v>
      </c>
      <c r="E26" s="53" t="s">
        <v>26</v>
      </c>
      <c r="F26" s="53" t="s">
        <v>27</v>
      </c>
      <c r="G26" s="54" t="s">
        <v>28</v>
      </c>
      <c r="H26" s="28"/>
      <c r="I26" s="55"/>
    </row>
    <row r="27" spans="1:10" ht="15.75" x14ac:dyDescent="0.3">
      <c r="A27" s="56" t="s">
        <v>30</v>
      </c>
      <c r="B27" s="49" t="s">
        <v>31</v>
      </c>
      <c r="C27" s="20">
        <v>0.1</v>
      </c>
      <c r="D27" s="20">
        <v>0.09</v>
      </c>
      <c r="E27" s="5">
        <v>8</v>
      </c>
      <c r="F27" s="5">
        <v>12</v>
      </c>
      <c r="G27" s="6"/>
      <c r="H27" s="50"/>
      <c r="I27" s="50"/>
    </row>
    <row r="28" spans="1:10" ht="15.75" x14ac:dyDescent="0.3">
      <c r="A28" s="60" t="s">
        <v>33</v>
      </c>
      <c r="B28" s="6">
        <v>0.1</v>
      </c>
      <c r="C28" s="6">
        <v>0.04</v>
      </c>
      <c r="D28" s="6">
        <v>0.02</v>
      </c>
      <c r="E28" s="49" t="s">
        <v>31</v>
      </c>
      <c r="F28" s="7">
        <v>2</v>
      </c>
      <c r="G28" s="30"/>
      <c r="H28" s="30"/>
      <c r="I28" s="50"/>
    </row>
    <row r="29" spans="1:10" ht="15.75" x14ac:dyDescent="0.3">
      <c r="A29" s="60" t="s">
        <v>34</v>
      </c>
      <c r="B29" s="6">
        <v>0.1</v>
      </c>
      <c r="C29" s="6">
        <v>0.04</v>
      </c>
      <c r="D29" s="6">
        <v>0.02</v>
      </c>
      <c r="E29" s="49" t="s">
        <v>31</v>
      </c>
      <c r="F29" s="7">
        <v>2</v>
      </c>
      <c r="G29" s="30"/>
      <c r="H29" s="30"/>
      <c r="I29" s="50"/>
    </row>
    <row r="30" spans="1:10" ht="7.55" customHeight="1" x14ac:dyDescent="0.3">
      <c r="A30" s="50"/>
      <c r="B30" s="50"/>
      <c r="C30" s="62"/>
      <c r="D30" s="62"/>
      <c r="E30" s="62"/>
      <c r="F30" s="63"/>
      <c r="I30" s="64"/>
    </row>
    <row r="31" spans="1:10" ht="7.55" customHeight="1" x14ac:dyDescent="0.3">
      <c r="I31" s="65"/>
    </row>
    <row r="32" spans="1:10" ht="18.350000000000001" x14ac:dyDescent="0.35">
      <c r="A32" s="136" t="s">
        <v>36</v>
      </c>
      <c r="B32" s="136"/>
      <c r="C32" s="136"/>
      <c r="D32" s="136"/>
      <c r="E32" s="136"/>
      <c r="F32" s="136"/>
      <c r="G32" s="136"/>
      <c r="H32" s="136"/>
    </row>
    <row r="33" spans="1:16" ht="33.4" x14ac:dyDescent="0.3">
      <c r="A33" s="50"/>
      <c r="B33" s="99" t="s">
        <v>38</v>
      </c>
      <c r="C33" s="66" t="s">
        <v>39</v>
      </c>
      <c r="E33" s="104" t="s">
        <v>41</v>
      </c>
      <c r="F33" s="30"/>
    </row>
    <row r="34" spans="1:16" ht="15.75" x14ac:dyDescent="0.3">
      <c r="A34" s="50"/>
      <c r="B34" s="101" t="s">
        <v>72</v>
      </c>
      <c r="C34" s="67">
        <f>IF(A18=Drawings!A6,C18,C18+E18+H18)</f>
        <v>10050</v>
      </c>
      <c r="E34" s="8">
        <v>2</v>
      </c>
      <c r="F34" s="30"/>
    </row>
    <row r="35" spans="1:16" ht="7.55" customHeight="1" x14ac:dyDescent="0.3">
      <c r="A35" s="68"/>
      <c r="B35" s="69"/>
      <c r="C35" s="69"/>
      <c r="D35" s="31"/>
      <c r="E35" s="46"/>
      <c r="F35" s="70"/>
      <c r="G35" s="35"/>
      <c r="H35" s="31"/>
      <c r="P35" s="71"/>
    </row>
    <row r="36" spans="1:16" ht="18.350000000000001" x14ac:dyDescent="0.35">
      <c r="A36" s="123" t="s">
        <v>48</v>
      </c>
      <c r="B36" s="123"/>
      <c r="C36" s="123"/>
      <c r="D36" s="123"/>
      <c r="E36" s="123"/>
      <c r="F36" s="123"/>
      <c r="G36" s="123"/>
      <c r="H36" s="123"/>
      <c r="L36" s="72"/>
      <c r="M36" s="72"/>
      <c r="N36" s="72"/>
      <c r="P36" s="73"/>
    </row>
    <row r="37" spans="1:16" ht="31.45" x14ac:dyDescent="0.3">
      <c r="A37" s="74" t="s">
        <v>49</v>
      </c>
      <c r="B37" s="75" t="s">
        <v>23</v>
      </c>
      <c r="C37" s="75" t="s">
        <v>50</v>
      </c>
      <c r="D37" s="75" t="s">
        <v>51</v>
      </c>
      <c r="E37" s="75" t="s">
        <v>52</v>
      </c>
      <c r="F37" s="50"/>
      <c r="G37" s="37"/>
      <c r="H37" s="30"/>
      <c r="M37" s="30"/>
    </row>
    <row r="38" spans="1:16" ht="15.75" x14ac:dyDescent="0.3">
      <c r="A38" s="9" t="str">
        <f t="shared" ref="A38:A62" si="0">IF($G$40 &gt; ROW()-ROW($A$38),CONCATENATE("FBG",ROW()-ROW($A$37)),"")</f>
        <v>FBG1</v>
      </c>
      <c r="B38" s="10">
        <f>G50</f>
        <v>1550.39</v>
      </c>
      <c r="C38" s="10">
        <f>G43</f>
        <v>5000</v>
      </c>
      <c r="D38" s="10">
        <f t="shared" ref="D38:D62" si="1">IF(ISNUMBER(C38),$C$34-$C38,"")</f>
        <v>5050</v>
      </c>
      <c r="E38" s="10" t="s">
        <v>31</v>
      </c>
      <c r="F38" s="11"/>
      <c r="G38" s="149" t="s">
        <v>73</v>
      </c>
      <c r="H38" s="149"/>
      <c r="I38" s="65"/>
      <c r="M38" s="30"/>
    </row>
    <row r="39" spans="1:16" ht="15.75" x14ac:dyDescent="0.3">
      <c r="A39" s="9" t="str">
        <f t="shared" si="0"/>
        <v>FBG2</v>
      </c>
      <c r="B39" s="10">
        <f>IF(Definitions!$W$2,IF($G$40 &gt; ROW()-ROW($A$38),$B38+$G$48,""),"")</f>
        <v>1550.39</v>
      </c>
      <c r="C39" s="10">
        <f>IF(AND($G$40 &gt; ROW()-ROW($A$38),Definitions!$Y$2),$C38+$G$55,"")</f>
        <v>5050</v>
      </c>
      <c r="D39" s="10">
        <f t="shared" si="1"/>
        <v>5000</v>
      </c>
      <c r="E39" s="10">
        <f t="shared" ref="E39:E62" si="2">IF(ISNUMBER(C39),C39-C38,"")</f>
        <v>50</v>
      </c>
      <c r="F39" s="11"/>
      <c r="G39" s="150" t="s">
        <v>74</v>
      </c>
      <c r="H39" s="150"/>
      <c r="I39" s="65"/>
      <c r="L39" s="37"/>
      <c r="M39" s="36"/>
      <c r="N39" s="78"/>
      <c r="O39" s="79"/>
    </row>
    <row r="40" spans="1:16" ht="15.75" x14ac:dyDescent="0.3">
      <c r="A40" s="9" t="str">
        <f t="shared" si="0"/>
        <v/>
      </c>
      <c r="B40" s="10" t="str">
        <f>IF(Definitions!$W$2,IF($G$40 &gt; ROW()-ROW($A$38),$B39+$G$48,""),"")</f>
        <v/>
      </c>
      <c r="C40" s="10" t="str">
        <f>IF(AND($G$40 &gt; ROW()-ROW($A$38),Definitions!$Y$2),$C39+$G$55,"")</f>
        <v/>
      </c>
      <c r="D40" s="10" t="str">
        <f t="shared" si="1"/>
        <v/>
      </c>
      <c r="E40" s="10" t="str">
        <f t="shared" si="2"/>
        <v/>
      </c>
      <c r="F40" s="11"/>
      <c r="G40" s="147">
        <v>2</v>
      </c>
      <c r="H40" s="147"/>
      <c r="I40" s="65"/>
      <c r="L40" s="80"/>
      <c r="M40" s="37"/>
    </row>
    <row r="41" spans="1:16" ht="15.75" x14ac:dyDescent="0.3">
      <c r="A41" s="9" t="str">
        <f t="shared" si="0"/>
        <v/>
      </c>
      <c r="B41" s="10" t="str">
        <f>IF(Definitions!$W$2,IF($G$40 &gt; ROW()-ROW($A$38),$B40+$G$48,""),"")</f>
        <v/>
      </c>
      <c r="C41" s="10" t="str">
        <f>IF(AND($G$40 &gt; ROW()-ROW($A$38),Definitions!$Y$2),$C40+$G$55,"")</f>
        <v/>
      </c>
      <c r="D41" s="10" t="str">
        <f t="shared" si="1"/>
        <v/>
      </c>
      <c r="E41" s="10" t="str">
        <f t="shared" si="2"/>
        <v/>
      </c>
      <c r="F41" s="11"/>
      <c r="G41" s="37"/>
      <c r="H41" s="37"/>
      <c r="I41" s="65"/>
      <c r="L41" s="80"/>
      <c r="M41" s="35"/>
    </row>
    <row r="42" spans="1:16" ht="15.75" x14ac:dyDescent="0.3">
      <c r="A42" s="9" t="str">
        <f t="shared" si="0"/>
        <v/>
      </c>
      <c r="B42" s="10" t="str">
        <f>IF(Definitions!$W$2,IF($G$40 &gt; ROW()-ROW($A$38),$B41+$G$48,""),"")</f>
        <v/>
      </c>
      <c r="C42" s="10" t="str">
        <f>IF(AND($G$40 &gt; ROW()-ROW($A$38),Definitions!$Y$2),$C41+$G$55,"")</f>
        <v/>
      </c>
      <c r="D42" s="10" t="str">
        <f t="shared" si="1"/>
        <v/>
      </c>
      <c r="E42" s="10" t="str">
        <f t="shared" si="2"/>
        <v/>
      </c>
      <c r="F42" s="11"/>
      <c r="G42" s="151" t="s">
        <v>75</v>
      </c>
      <c r="H42" s="151"/>
      <c r="I42" s="65"/>
      <c r="L42" s="69"/>
      <c r="M42" s="31"/>
      <c r="N42" s="35"/>
      <c r="O42" s="70"/>
    </row>
    <row r="43" spans="1:16" ht="15.75" x14ac:dyDescent="0.3">
      <c r="A43" s="9" t="str">
        <f t="shared" si="0"/>
        <v/>
      </c>
      <c r="B43" s="10" t="str">
        <f>IF(Definitions!$W$2,IF($G$40 &gt; ROW()-ROW($A$38),$B42+$G$48,""),"")</f>
        <v/>
      </c>
      <c r="C43" s="10" t="str">
        <f>IF(AND($G$40 &gt; ROW()-ROW($A$38),Definitions!$Y$2),$C42+$G$55,"")</f>
        <v/>
      </c>
      <c r="D43" s="10" t="str">
        <f t="shared" si="1"/>
        <v/>
      </c>
      <c r="E43" s="10" t="str">
        <f t="shared" si="2"/>
        <v/>
      </c>
      <c r="F43" s="11"/>
      <c r="G43" s="147">
        <v>5000</v>
      </c>
      <c r="H43" s="147"/>
      <c r="I43" s="65"/>
      <c r="L43" s="30"/>
      <c r="M43" s="30"/>
    </row>
    <row r="44" spans="1:16" ht="15.75" x14ac:dyDescent="0.3">
      <c r="A44" s="9" t="str">
        <f t="shared" si="0"/>
        <v/>
      </c>
      <c r="B44" s="10" t="str">
        <f>IF(Definitions!$W$2,IF($G$40 &gt; ROW()-ROW($A$38),$B43+$G$48,""),"")</f>
        <v/>
      </c>
      <c r="C44" s="10" t="str">
        <f>IF(AND($G$40 &gt; ROW()-ROW($A$38),Definitions!$Y$2),$C43+$G$55,"")</f>
        <v/>
      </c>
      <c r="D44" s="10" t="str">
        <f t="shared" si="1"/>
        <v/>
      </c>
      <c r="E44" s="10" t="str">
        <f t="shared" si="2"/>
        <v/>
      </c>
      <c r="F44" s="11"/>
      <c r="I44" s="65"/>
      <c r="L44" s="30"/>
      <c r="M44" s="30"/>
    </row>
    <row r="45" spans="1:16" ht="15.75" x14ac:dyDescent="0.3">
      <c r="A45" s="9" t="str">
        <f t="shared" si="0"/>
        <v/>
      </c>
      <c r="B45" s="10" t="str">
        <f>IF(Definitions!$W$2,IF($G$40 &gt; ROW()-ROW($A$38),$B44+$G$48,""),"")</f>
        <v/>
      </c>
      <c r="C45" s="10" t="str">
        <f>IF(AND($G$40 &gt; ROW()-ROW($A$38),Definitions!$Y$2),$C44+$G$55,"")</f>
        <v/>
      </c>
      <c r="D45" s="10" t="str">
        <f t="shared" si="1"/>
        <v/>
      </c>
      <c r="E45" s="10" t="str">
        <f t="shared" si="2"/>
        <v/>
      </c>
      <c r="F45" s="11"/>
      <c r="G45" s="139" t="s">
        <v>76</v>
      </c>
      <c r="H45" s="140"/>
      <c r="I45" s="65"/>
      <c r="L45" s="30"/>
      <c r="M45" s="30"/>
    </row>
    <row r="46" spans="1:16" ht="15.75" x14ac:dyDescent="0.3">
      <c r="A46" s="9" t="str">
        <f t="shared" si="0"/>
        <v/>
      </c>
      <c r="B46" s="10" t="str">
        <f>IF(Definitions!$W$2,IF($G$40 &gt; ROW()-ROW($A$38),$B45+$G$48,""),"")</f>
        <v/>
      </c>
      <c r="C46" s="10" t="str">
        <f>IF(AND($G$40 &gt; ROW()-ROW($A$38),Definitions!$Y$2),$C45+$G$55,"")</f>
        <v/>
      </c>
      <c r="D46" s="10" t="str">
        <f t="shared" si="1"/>
        <v/>
      </c>
      <c r="E46" s="10" t="str">
        <f t="shared" si="2"/>
        <v/>
      </c>
      <c r="F46" s="11"/>
      <c r="G46" s="141" t="s">
        <v>77</v>
      </c>
      <c r="H46" s="142"/>
      <c r="L46" s="30"/>
      <c r="M46" s="30"/>
    </row>
    <row r="47" spans="1:16" ht="15.75" x14ac:dyDescent="0.3">
      <c r="A47" s="9" t="str">
        <f t="shared" si="0"/>
        <v/>
      </c>
      <c r="B47" s="10" t="str">
        <f>IF(Definitions!$W$2,IF($G$40 &gt; ROW()-ROW($A$38),$B46+$G$48,""),"")</f>
        <v/>
      </c>
      <c r="C47" s="10" t="str">
        <f>IF(AND($G$40 &gt; ROW()-ROW($A$38),Definitions!$Y$2),$C46+$G$55,"")</f>
        <v/>
      </c>
      <c r="D47" s="10" t="str">
        <f t="shared" si="1"/>
        <v/>
      </c>
      <c r="E47" s="10" t="str">
        <f t="shared" si="2"/>
        <v/>
      </c>
      <c r="F47" s="11"/>
      <c r="G47" s="143" t="s">
        <v>78</v>
      </c>
      <c r="H47" s="144"/>
      <c r="L47" s="30"/>
      <c r="M47" s="30"/>
    </row>
    <row r="48" spans="1:16" ht="15.75" x14ac:dyDescent="0.3">
      <c r="A48" s="9" t="str">
        <f t="shared" si="0"/>
        <v/>
      </c>
      <c r="B48" s="10" t="str">
        <f>IF(Definitions!$W$2,IF($G$40 &gt; ROW()-ROW($A$38),$B47+$G$48,""),"")</f>
        <v/>
      </c>
      <c r="C48" s="10" t="str">
        <f>IF(AND($G$40 &gt; ROW()-ROW($A$38),Definitions!$Y$2),$C47+$G$55,"")</f>
        <v/>
      </c>
      <c r="D48" s="10" t="str">
        <f t="shared" si="1"/>
        <v/>
      </c>
      <c r="E48" s="10" t="str">
        <f t="shared" si="2"/>
        <v/>
      </c>
      <c r="F48" s="11"/>
      <c r="G48" s="145">
        <v>0</v>
      </c>
      <c r="H48" s="145"/>
      <c r="L48" s="30"/>
      <c r="M48" s="30"/>
    </row>
    <row r="49" spans="1:13" ht="15.75" x14ac:dyDescent="0.3">
      <c r="A49" s="9" t="str">
        <f t="shared" si="0"/>
        <v/>
      </c>
      <c r="B49" s="10" t="str">
        <f>IF(Definitions!$W$2,IF($G$40 &gt; ROW()-ROW($A$38),$B48+$G$48,""),"")</f>
        <v/>
      </c>
      <c r="C49" s="10" t="str">
        <f>IF(AND($G$40 &gt; ROW()-ROW($A$38),Definitions!$Y$2),$C48+$G$55,"")</f>
        <v/>
      </c>
      <c r="D49" s="10" t="str">
        <f t="shared" si="1"/>
        <v/>
      </c>
      <c r="E49" s="10" t="str">
        <f t="shared" si="2"/>
        <v/>
      </c>
      <c r="F49" s="11"/>
      <c r="G49" s="146" t="s">
        <v>79</v>
      </c>
      <c r="H49" s="146"/>
      <c r="L49" s="30"/>
      <c r="M49" s="30"/>
    </row>
    <row r="50" spans="1:13" ht="15.75" x14ac:dyDescent="0.3">
      <c r="A50" s="9" t="str">
        <f t="shared" si="0"/>
        <v/>
      </c>
      <c r="B50" s="10" t="str">
        <f>IF(Definitions!$W$2,IF($G$40 &gt; ROW()-ROW($A$38),$B49+$G$48,""),"")</f>
        <v/>
      </c>
      <c r="C50" s="10" t="str">
        <f>IF(AND($G$40 &gt; ROW()-ROW($A$38),Definitions!$Y$2),$C49+$G$55,"")</f>
        <v/>
      </c>
      <c r="D50" s="10" t="str">
        <f t="shared" si="1"/>
        <v/>
      </c>
      <c r="E50" s="10" t="str">
        <f t="shared" si="2"/>
        <v/>
      </c>
      <c r="F50" s="11"/>
      <c r="G50" s="145">
        <v>1550.39</v>
      </c>
      <c r="H50" s="145"/>
      <c r="L50" s="30"/>
      <c r="M50" s="30"/>
    </row>
    <row r="51" spans="1:13" ht="15.75" x14ac:dyDescent="0.3">
      <c r="A51" s="9" t="str">
        <f t="shared" si="0"/>
        <v/>
      </c>
      <c r="B51" s="10" t="str">
        <f>IF(Definitions!$W$2,IF($G$40 &gt; ROW()-ROW($A$38),$B50+$G$48,""),"")</f>
        <v/>
      </c>
      <c r="C51" s="10" t="str">
        <f>IF(AND($G$40 &gt; ROW()-ROW($A$38),Definitions!$Y$2),$C50+$G$55,"")</f>
        <v/>
      </c>
      <c r="D51" s="10" t="str">
        <f t="shared" si="1"/>
        <v/>
      </c>
      <c r="E51" s="10" t="str">
        <f t="shared" si="2"/>
        <v/>
      </c>
      <c r="F51" s="11"/>
      <c r="G51" s="30"/>
      <c r="H51" s="30"/>
      <c r="J51" s="30"/>
      <c r="K51" s="30"/>
      <c r="L51" s="30"/>
      <c r="M51" s="30"/>
    </row>
    <row r="52" spans="1:13" ht="15.75" x14ac:dyDescent="0.3">
      <c r="A52" s="9" t="str">
        <f t="shared" si="0"/>
        <v/>
      </c>
      <c r="B52" s="10" t="str">
        <f>IF(Definitions!$W$2,IF($G$40 &gt; ROW()-ROW($A$38),$B51+$G$48,""),"")</f>
        <v/>
      </c>
      <c r="C52" s="10" t="str">
        <f>IF(AND($G$40 &gt; ROW()-ROW($A$38),Definitions!$Y$2),$C51+$G$55,"")</f>
        <v/>
      </c>
      <c r="D52" s="10" t="str">
        <f t="shared" si="1"/>
        <v/>
      </c>
      <c r="E52" s="10" t="str">
        <f t="shared" si="2"/>
        <v/>
      </c>
      <c r="F52" s="11"/>
      <c r="G52" s="137" t="s">
        <v>52</v>
      </c>
      <c r="H52" s="138"/>
      <c r="J52" s="30"/>
      <c r="K52" s="30"/>
    </row>
    <row r="53" spans="1:13" ht="15.75" x14ac:dyDescent="0.3">
      <c r="A53" s="9" t="str">
        <f t="shared" si="0"/>
        <v/>
      </c>
      <c r="B53" s="10" t="str">
        <f>IF(Definitions!$W$2,IF($G$40 &gt; ROW()-ROW($A$38),$B52+$G$48,""),"")</f>
        <v/>
      </c>
      <c r="C53" s="10" t="str">
        <f>IF(AND($G$40 &gt; ROW()-ROW($A$38),Definitions!$Y$2),$C52+$G$55,"")</f>
        <v/>
      </c>
      <c r="D53" s="10" t="str">
        <f t="shared" si="1"/>
        <v/>
      </c>
      <c r="E53" s="10" t="str">
        <f t="shared" si="2"/>
        <v/>
      </c>
      <c r="F53" s="11"/>
      <c r="G53" s="152" t="s">
        <v>80</v>
      </c>
      <c r="H53" s="153"/>
    </row>
    <row r="54" spans="1:13" ht="15.75" x14ac:dyDescent="0.3">
      <c r="A54" s="9" t="str">
        <f t="shared" si="0"/>
        <v/>
      </c>
      <c r="B54" s="10" t="str">
        <f>IF(Definitions!$W$2,IF($G$40 &gt; ROW()-ROW($A$38),$B53+$G$48,""),"")</f>
        <v/>
      </c>
      <c r="C54" s="10" t="str">
        <f>IF(AND($G$40 &gt; ROW()-ROW($A$38),Definitions!$Y$2),$C53+$G$55,"")</f>
        <v/>
      </c>
      <c r="D54" s="10" t="str">
        <f t="shared" si="1"/>
        <v/>
      </c>
      <c r="E54" s="10" t="str">
        <f t="shared" si="2"/>
        <v/>
      </c>
      <c r="F54" s="11"/>
      <c r="G54" s="154" t="s">
        <v>81</v>
      </c>
      <c r="H54" s="154"/>
    </row>
    <row r="55" spans="1:13" ht="15.75" x14ac:dyDescent="0.3">
      <c r="A55" s="9" t="str">
        <f t="shared" si="0"/>
        <v/>
      </c>
      <c r="B55" s="10" t="str">
        <f>IF(Definitions!$W$2,IF($G$40 &gt; ROW()-ROW($A$38),$B54+$G$48,""),"")</f>
        <v/>
      </c>
      <c r="C55" s="10" t="str">
        <f>IF(AND($G$40 &gt; ROW()-ROW($A$38),Definitions!$Y$2),$C54+$G$55,"")</f>
        <v/>
      </c>
      <c r="D55" s="10" t="str">
        <f t="shared" si="1"/>
        <v/>
      </c>
      <c r="E55" s="10" t="str">
        <f t="shared" si="2"/>
        <v/>
      </c>
      <c r="F55" s="11"/>
      <c r="G55" s="155">
        <v>50</v>
      </c>
      <c r="H55" s="155"/>
    </row>
    <row r="56" spans="1:13" ht="15.75" x14ac:dyDescent="0.3">
      <c r="A56" s="9" t="str">
        <f t="shared" si="0"/>
        <v/>
      </c>
      <c r="B56" s="10" t="str">
        <f>IF(Definitions!$W$2,IF($G$40 &gt; ROW()-ROW($A$38),$B55+$G$48,""),"")</f>
        <v/>
      </c>
      <c r="C56" s="10" t="str">
        <f>IF(AND($G$40 &gt; ROW()-ROW($A$38),Definitions!$Y$2),$C55+$G$55,"")</f>
        <v/>
      </c>
      <c r="D56" s="10" t="str">
        <f t="shared" si="1"/>
        <v/>
      </c>
      <c r="E56" s="10" t="str">
        <f t="shared" si="2"/>
        <v/>
      </c>
      <c r="F56" s="11"/>
      <c r="G56" s="35"/>
      <c r="H56" s="30"/>
    </row>
    <row r="57" spans="1:13" ht="15.75" x14ac:dyDescent="0.3">
      <c r="A57" s="9" t="str">
        <f t="shared" si="0"/>
        <v/>
      </c>
      <c r="B57" s="10" t="str">
        <f>IF(Definitions!$W$2,IF($G$40 &gt; ROW()-ROW($A$38),$B56+$G$48,""),"")</f>
        <v/>
      </c>
      <c r="C57" s="10" t="str">
        <f>IF(AND($G$40 &gt; ROW()-ROW($A$38),Definitions!$Y$2),$C56+$G$55,"")</f>
        <v/>
      </c>
      <c r="D57" s="10" t="str">
        <f t="shared" si="1"/>
        <v/>
      </c>
      <c r="E57" s="10" t="str">
        <f t="shared" si="2"/>
        <v/>
      </c>
      <c r="F57" s="11"/>
      <c r="G57" s="35"/>
      <c r="H57" s="30"/>
    </row>
    <row r="58" spans="1:13" ht="15.75" x14ac:dyDescent="0.3">
      <c r="A58" s="9" t="str">
        <f t="shared" si="0"/>
        <v/>
      </c>
      <c r="B58" s="10" t="str">
        <f>IF(Definitions!$W$2,IF($G$40 &gt; ROW()-ROW($A$38),$B57+$G$48,""),"")</f>
        <v/>
      </c>
      <c r="C58" s="10" t="str">
        <f>IF(AND($G$40 &gt; ROW()-ROW($A$38),Definitions!$Y$2),$C57+$G$55,"")</f>
        <v/>
      </c>
      <c r="D58" s="10" t="str">
        <f t="shared" si="1"/>
        <v/>
      </c>
      <c r="E58" s="10" t="str">
        <f t="shared" si="2"/>
        <v/>
      </c>
      <c r="F58" s="11"/>
      <c r="G58" s="35"/>
      <c r="H58" s="30"/>
    </row>
    <row r="59" spans="1:13" ht="15.75" x14ac:dyDescent="0.3">
      <c r="A59" s="9" t="str">
        <f t="shared" si="0"/>
        <v/>
      </c>
      <c r="B59" s="10" t="str">
        <f>IF(Definitions!$W$2,IF($G$40 &gt; ROW()-ROW($A$38),$B58+$G$48,""),"")</f>
        <v/>
      </c>
      <c r="C59" s="10" t="str">
        <f>IF(AND($G$40 &gt; ROW()-ROW($A$38),Definitions!$Y$2),$C58+$G$55,"")</f>
        <v/>
      </c>
      <c r="D59" s="10" t="str">
        <f t="shared" si="1"/>
        <v/>
      </c>
      <c r="E59" s="10" t="str">
        <f t="shared" si="2"/>
        <v/>
      </c>
      <c r="F59" s="11"/>
      <c r="G59" s="35"/>
      <c r="H59" s="30"/>
    </row>
    <row r="60" spans="1:13" ht="15.75" x14ac:dyDescent="0.3">
      <c r="A60" s="9" t="str">
        <f t="shared" si="0"/>
        <v/>
      </c>
      <c r="B60" s="10" t="str">
        <f>IF(Definitions!$W$2,IF($G$40 &gt; ROW()-ROW($A$38),$B59+$G$48,""),"")</f>
        <v/>
      </c>
      <c r="C60" s="10" t="str">
        <f>IF(AND($G$40 &gt; ROW()-ROW($A$38),Definitions!$Y$2),$C59+$G$55,"")</f>
        <v/>
      </c>
      <c r="D60" s="10" t="str">
        <f t="shared" si="1"/>
        <v/>
      </c>
      <c r="E60" s="10" t="str">
        <f t="shared" si="2"/>
        <v/>
      </c>
      <c r="F60" s="11"/>
      <c r="G60" s="131" t="s">
        <v>53</v>
      </c>
      <c r="H60" s="131"/>
    </row>
    <row r="61" spans="1:13" ht="15.75" x14ac:dyDescent="0.3">
      <c r="A61" s="9" t="str">
        <f t="shared" si="0"/>
        <v/>
      </c>
      <c r="B61" s="10" t="str">
        <f>IF(Definitions!$W$2,IF($G$40 &gt; ROW()-ROW($A$38),$B60+$G$48,""),"")</f>
        <v/>
      </c>
      <c r="C61" s="10" t="str">
        <f>IF(AND($G$40 &gt; ROW()-ROW($A$38),Definitions!$Y$2),$C60+$G$55,"")</f>
        <v/>
      </c>
      <c r="D61" s="10" t="str">
        <f t="shared" si="1"/>
        <v/>
      </c>
      <c r="E61" s="10" t="str">
        <f t="shared" si="2"/>
        <v/>
      </c>
      <c r="F61" s="11"/>
      <c r="G61" s="131"/>
      <c r="H61" s="131"/>
    </row>
    <row r="62" spans="1:13" ht="15.75" x14ac:dyDescent="0.3">
      <c r="A62" s="9" t="str">
        <f t="shared" si="0"/>
        <v/>
      </c>
      <c r="B62" s="10" t="str">
        <f>IF(Definitions!$W$2,IF($G$40 &gt; ROW()-ROW($A$38),$B61+$G$48,""),"")</f>
        <v/>
      </c>
      <c r="C62" s="10" t="str">
        <f>IF(AND($G$40 &gt; ROW()-ROW($A$38),Definitions!$Y$2),$C61+$G$55,"")</f>
        <v/>
      </c>
      <c r="D62" s="10" t="str">
        <f t="shared" si="1"/>
        <v/>
      </c>
      <c r="E62" s="10" t="str">
        <f t="shared" si="2"/>
        <v/>
      </c>
      <c r="F62" s="11"/>
      <c r="G62" s="122" t="s">
        <v>54</v>
      </c>
      <c r="H62" s="122"/>
    </row>
    <row r="63" spans="1:13" ht="15.75" x14ac:dyDescent="0.3">
      <c r="A63" s="81"/>
      <c r="B63" s="81"/>
      <c r="C63" s="81"/>
      <c r="D63" s="81"/>
      <c r="E63" s="81"/>
      <c r="F63" s="30"/>
      <c r="G63" s="35"/>
      <c r="H63" s="30"/>
    </row>
    <row r="64" spans="1:13" ht="15.75" x14ac:dyDescent="0.3">
      <c r="A64" s="81"/>
      <c r="B64" s="81"/>
      <c r="C64" s="81"/>
      <c r="D64" s="81"/>
      <c r="E64" s="81"/>
      <c r="F64" s="30"/>
      <c r="G64" s="35"/>
      <c r="H64" s="30"/>
    </row>
    <row r="65" spans="1:8" ht="43.55" customHeight="1" x14ac:dyDescent="0.3">
      <c r="A65" s="124" t="s">
        <v>10</v>
      </c>
      <c r="B65" s="125"/>
      <c r="C65" s="126" t="s">
        <v>55</v>
      </c>
      <c r="D65" s="127"/>
      <c r="E65" s="127"/>
      <c r="F65" s="128"/>
      <c r="G65" s="35"/>
      <c r="H65" s="30"/>
    </row>
    <row r="66" spans="1:8" ht="15.75" x14ac:dyDescent="0.3">
      <c r="A66" s="30"/>
      <c r="B66" s="30"/>
      <c r="C66" s="30"/>
      <c r="D66" s="30"/>
      <c r="E66" s="30"/>
      <c r="F66" s="30"/>
      <c r="G66" s="35"/>
      <c r="H66" s="30"/>
    </row>
    <row r="67" spans="1:8" ht="15.75" x14ac:dyDescent="0.3">
      <c r="A67" s="30"/>
      <c r="B67" s="30"/>
      <c r="C67" s="30"/>
      <c r="D67" s="30"/>
      <c r="E67" s="30"/>
      <c r="F67" s="30"/>
      <c r="G67" s="35"/>
      <c r="H67" s="30"/>
    </row>
    <row r="68" spans="1:8" ht="15.75" x14ac:dyDescent="0.3">
      <c r="A68" s="30"/>
      <c r="B68" s="30"/>
      <c r="C68" s="30"/>
      <c r="D68" s="30"/>
      <c r="E68" s="30"/>
      <c r="F68" s="30"/>
      <c r="G68" s="30"/>
      <c r="H68" s="30"/>
    </row>
    <row r="69" spans="1:8" ht="15.75" x14ac:dyDescent="0.3">
      <c r="A69" s="30"/>
      <c r="B69" s="30"/>
      <c r="C69" s="30"/>
      <c r="D69" s="30"/>
      <c r="E69" s="30"/>
      <c r="F69" s="30"/>
      <c r="G69" s="30"/>
      <c r="H69" s="30"/>
    </row>
    <row r="70" spans="1:8" ht="15.75" x14ac:dyDescent="0.3">
      <c r="A70" s="82" t="s">
        <v>82</v>
      </c>
      <c r="B70" s="86">
        <v>0</v>
      </c>
      <c r="C70" s="30"/>
      <c r="D70" s="30"/>
      <c r="E70" s="30"/>
      <c r="F70" s="30"/>
      <c r="G70" s="30"/>
      <c r="H70" s="30"/>
    </row>
    <row r="71" spans="1:8" ht="15.75" x14ac:dyDescent="0.3">
      <c r="A71" s="83" t="s">
        <v>83</v>
      </c>
      <c r="B71" s="87">
        <v>50</v>
      </c>
      <c r="C71" s="47"/>
      <c r="G71" s="30"/>
      <c r="H71" s="30"/>
    </row>
    <row r="72" spans="1:8" ht="15.75" x14ac:dyDescent="0.3">
      <c r="A72" s="83" t="s">
        <v>84</v>
      </c>
      <c r="B72" s="87">
        <v>50</v>
      </c>
      <c r="C72" s="47"/>
      <c r="G72" s="30"/>
      <c r="H72" s="30"/>
    </row>
  </sheetData>
  <sheetProtection algorithmName="SHA-512" hashValue="2IxqKlJJo1N5zgA+c66gxI2TKhBHhnvkv67V2aRE67OEkWZzBBZo6IaEeQvnXuEje1Q7YxmhdK6fkTWoc9buvA==" saltValue="L5bTyGEw4sdUkEZg74+Z4A==" spinCount="100000" sheet="1" objects="1" scenarios="1"/>
  <mergeCells count="45">
    <mergeCell ref="B12:H12"/>
    <mergeCell ref="F5:H5"/>
    <mergeCell ref="A2:E2"/>
    <mergeCell ref="A4:B4"/>
    <mergeCell ref="C4:D4"/>
    <mergeCell ref="A5:B5"/>
    <mergeCell ref="C5:D5"/>
    <mergeCell ref="A6:B6"/>
    <mergeCell ref="C6:D6"/>
    <mergeCell ref="B8:C8"/>
    <mergeCell ref="E8:F8"/>
    <mergeCell ref="B10:H10"/>
    <mergeCell ref="A14:H14"/>
    <mergeCell ref="A15:H15"/>
    <mergeCell ref="A20:H20"/>
    <mergeCell ref="A21:B21"/>
    <mergeCell ref="D21:E21"/>
    <mergeCell ref="C21:C22"/>
    <mergeCell ref="A16:A17"/>
    <mergeCell ref="C16:C17"/>
    <mergeCell ref="B16:B17"/>
    <mergeCell ref="D16:E16"/>
    <mergeCell ref="F16:H16"/>
    <mergeCell ref="G53:H53"/>
    <mergeCell ref="G54:H54"/>
    <mergeCell ref="G55:H55"/>
    <mergeCell ref="A65:B65"/>
    <mergeCell ref="C65:F65"/>
    <mergeCell ref="G60:H61"/>
    <mergeCell ref="G62:H62"/>
    <mergeCell ref="G43:H43"/>
    <mergeCell ref="A25:H25"/>
    <mergeCell ref="A32:H32"/>
    <mergeCell ref="A36:H36"/>
    <mergeCell ref="G38:H38"/>
    <mergeCell ref="G39:H39"/>
    <mergeCell ref="G40:H40"/>
    <mergeCell ref="G42:H42"/>
    <mergeCell ref="G52:H52"/>
    <mergeCell ref="G45:H45"/>
    <mergeCell ref="G46:H46"/>
    <mergeCell ref="G47:H47"/>
    <mergeCell ref="G48:H48"/>
    <mergeCell ref="G49:H49"/>
    <mergeCell ref="G50:H50"/>
  </mergeCells>
  <dataValidations count="1">
    <dataValidation allowBlank="1" showDropDown="1" showInputMessage="1" showErrorMessage="1" sqref="A24" xr:uid="{10664055-8F2F-4970-9D4A-C20FD81D40FF}"/>
  </dataValidations>
  <pageMargins left="0.7" right="0.7" top="0.78740157499999996" bottom="0.78740157499999996" header="0.3" footer="0.3"/>
  <pageSetup paperSize="9" scale="61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9" r:id="rId4" name="Check Box 3">
              <controlPr locked="0" defaultSize="0" autoFill="0" autoLine="0" autoPict="0">
                <anchor moveWithCells="1">
                  <from>
                    <xdr:col>6</xdr:col>
                    <xdr:colOff>16625</xdr:colOff>
                    <xdr:row>45</xdr:row>
                    <xdr:rowOff>0</xdr:rowOff>
                  </from>
                  <to>
                    <xdr:col>6</xdr:col>
                    <xdr:colOff>241069</xdr:colOff>
                    <xdr:row>46</xdr:row>
                    <xdr:rowOff>24938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5" name="Check Box 4">
              <controlPr locked="0" defaultSize="0" autoFill="0" autoLine="0" autoPict="0">
                <anchor moveWithCells="1">
                  <from>
                    <xdr:col>6</xdr:col>
                    <xdr:colOff>16625</xdr:colOff>
                    <xdr:row>52</xdr:row>
                    <xdr:rowOff>0</xdr:rowOff>
                  </from>
                  <to>
                    <xdr:col>6</xdr:col>
                    <xdr:colOff>266007</xdr:colOff>
                    <xdr:row>53</xdr:row>
                    <xdr:rowOff>24938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71FC0CB-1A82-41BC-ADCD-0A6C99F346D3}">
          <x14:formula1>
            <xm:f>Definitions!$AA$2:$AA$8</xm:f>
          </x14:formula1>
          <xm:sqref>B18</xm:sqref>
        </x14:dataValidation>
        <x14:dataValidation type="list" allowBlank="1" showInputMessage="1" showErrorMessage="1" xr:uid="{D7A5164A-EFD8-45D7-A571-53A2832DBC41}">
          <x14:formula1>
            <xm:f>Drawings!$A$3:$A$6</xm:f>
          </x14:formula1>
          <xm:sqref>A18</xm:sqref>
        </x14:dataValidation>
        <x14:dataValidation type="list" allowBlank="1" showInputMessage="1" showErrorMessage="1" xr:uid="{D7A409DE-1E1A-4F3F-A4B6-F82026B1EB96}">
          <x14:formula1>
            <xm:f>Definitions!$AC$2:$AC$7</xm:f>
          </x14:formula1>
          <xm:sqref>F18</xm:sqref>
        </x14:dataValidation>
        <x14:dataValidation type="list" allowBlank="1" showInputMessage="1" showErrorMessage="1" xr:uid="{5ED92083-E465-4580-B81C-2D1C5C197E5E}">
          <x14:formula1>
            <xm:f>Definitions!$AN$2:$AN$8</xm:f>
          </x14:formula1>
          <xm:sqref>D18</xm:sqref>
        </x14:dataValidation>
        <x14:dataValidation type="list" allowBlank="1" showInputMessage="1" showErrorMessage="1" xr:uid="{06256877-A1BF-4789-B1CB-8D6D5F1723A6}">
          <x14:formula1>
            <xm:f>Definitions!$AD$2:$AD$5</xm:f>
          </x14:formula1>
          <xm:sqref>G18</xm:sqref>
        </x14:dataValidation>
        <x14:dataValidation type="list" allowBlank="1" showInputMessage="1" showErrorMessage="1" xr:uid="{D0059E63-AAC0-4561-88E9-609E32AC7F49}">
          <x14:formula1>
            <xm:f>Definitions!$M$2:$M$3</xm:f>
          </x14:formula1>
          <xm:sqref>G27</xm:sqref>
        </x14:dataValidation>
        <x14:dataValidation type="list" allowBlank="1" showInputMessage="1" showErrorMessage="1" xr:uid="{78FCFD9A-186A-45B6-B265-B637E5901B68}">
          <x14:formula1>
            <xm:f>Definitions!$AP$2:$AP$3</xm:f>
          </x14:formula1>
          <xm:sqref>B34</xm:sqref>
        </x14:dataValidation>
        <x14:dataValidation type="list" allowBlank="1" showInputMessage="1" showErrorMessage="1" xr:uid="{04846E4E-238D-4077-BE8F-F82D47EF59BA}">
          <x14:formula1>
            <xm:f>Definitions!$A$2:$A$10</xm:f>
          </x14:formula1>
          <xm:sqref>B8:C8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50FE-8798-4BDB-9199-5BF8F182FBE9}">
  <sheetPr codeName="Tabelle9"/>
  <dimension ref="A1:AR31"/>
  <sheetViews>
    <sheetView workbookViewId="0">
      <selection activeCell="D32" sqref="D32"/>
    </sheetView>
  </sheetViews>
  <sheetFormatPr defaultColWidth="11.44140625" defaultRowHeight="15.75" x14ac:dyDescent="0.3"/>
  <cols>
    <col min="1" max="1" width="11.44140625" style="1"/>
    <col min="2" max="2" width="5" style="1" customWidth="1"/>
    <col min="3" max="3" width="24.109375" style="1" bestFit="1" customWidth="1"/>
    <col min="4" max="4" width="16.44140625" style="1" bestFit="1" customWidth="1"/>
    <col min="5" max="5" width="11" style="1" bestFit="1" customWidth="1"/>
    <col min="6" max="6" width="13.6640625" style="1" bestFit="1" customWidth="1"/>
    <col min="7" max="7" width="11.44140625" style="1"/>
    <col min="8" max="8" width="13" style="1" bestFit="1" customWidth="1"/>
    <col min="9" max="9" width="13" style="1" customWidth="1"/>
    <col min="10" max="10" width="3.5546875" style="1" customWidth="1"/>
    <col min="11" max="11" width="11.44140625" style="1"/>
    <col min="12" max="12" width="2.88671875" style="1" customWidth="1"/>
    <col min="13" max="13" width="11.44140625" style="1"/>
    <col min="14" max="14" width="3.109375" style="1" customWidth="1"/>
    <col min="15" max="15" width="11.44140625" style="1"/>
    <col min="16" max="16" width="3.5546875" style="1" customWidth="1"/>
    <col min="17" max="18" width="11.44140625" style="1"/>
    <col min="19" max="19" width="34.88671875" style="1" bestFit="1" customWidth="1"/>
    <col min="20" max="20" width="3" style="1" customWidth="1"/>
    <col min="21" max="21" width="20.33203125" style="1" bestFit="1" customWidth="1"/>
    <col min="22" max="22" width="2.5546875" style="1" customWidth="1"/>
    <col min="23" max="23" width="11.6640625" style="1" bestFit="1" customWidth="1"/>
    <col min="24" max="24" width="3.6640625" style="1" customWidth="1"/>
    <col min="25" max="25" width="11.44140625" style="1"/>
    <col min="26" max="26" width="3.109375" style="1" customWidth="1"/>
    <col min="27" max="27" width="20.44140625" style="1" bestFit="1" customWidth="1"/>
    <col min="28" max="28" width="2.44140625" style="1" customWidth="1"/>
    <col min="29" max="29" width="19.109375" style="1" bestFit="1" customWidth="1"/>
    <col min="30" max="30" width="19.109375" style="1" customWidth="1"/>
    <col min="31" max="31" width="3.6640625" style="1" customWidth="1"/>
    <col min="32" max="32" width="4.6640625" style="1" bestFit="1" customWidth="1"/>
    <col min="33" max="33" width="5.44140625" style="1" bestFit="1" customWidth="1"/>
    <col min="34" max="34" width="6.5546875" style="1" bestFit="1" customWidth="1"/>
    <col min="35" max="35" width="5" style="1" customWidth="1"/>
    <col min="36" max="36" width="16.88671875" style="1" bestFit="1" customWidth="1"/>
    <col min="37" max="37" width="5.5546875" style="1" bestFit="1" customWidth="1"/>
    <col min="38" max="38" width="13.88671875" style="1" bestFit="1" customWidth="1"/>
    <col min="39" max="39" width="3.33203125" style="1" customWidth="1"/>
    <col min="40" max="40" width="12.88671875" style="1" bestFit="1" customWidth="1"/>
    <col min="41" max="41" width="2.5546875" style="1" customWidth="1"/>
    <col min="42" max="43" width="11.44140625" style="1"/>
    <col min="44" max="44" width="20.33203125" style="1" bestFit="1" customWidth="1"/>
    <col min="45" max="16384" width="11.44140625" style="1"/>
  </cols>
  <sheetData>
    <row r="1" spans="1:44" s="12" customFormat="1" x14ac:dyDescent="0.3">
      <c r="A1" s="12" t="s">
        <v>85</v>
      </c>
      <c r="C1" s="12" t="s">
        <v>13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09" t="s">
        <v>15</v>
      </c>
      <c r="K1" s="12" t="s">
        <v>91</v>
      </c>
      <c r="M1" s="12" t="s">
        <v>28</v>
      </c>
      <c r="O1" s="12" t="s">
        <v>29</v>
      </c>
      <c r="Q1" s="12" t="s">
        <v>92</v>
      </c>
      <c r="S1" s="12" t="s">
        <v>93</v>
      </c>
      <c r="U1" s="12" t="s">
        <v>94</v>
      </c>
      <c r="W1" s="12" t="s">
        <v>95</v>
      </c>
      <c r="Y1" s="12" t="s">
        <v>96</v>
      </c>
      <c r="AA1" s="12" t="s">
        <v>61</v>
      </c>
      <c r="AC1" s="12" t="s">
        <v>97</v>
      </c>
      <c r="AD1" s="1" t="str">
        <f>IF($AC$12=Definitions!AC2,"AF",IF($AC$12=Definitions!AC3,"AG",IF($AC$12=Definitions!AC4,"AH",IF($AC$12=Definitions!AC5,"AI",IF($AC$12=Definitions!AC6,"AJ",IF($AC$12=Definitions!AC7,"AK",IF($AC$12=Definitions!AC8,"AJ")))))))</f>
        <v>AJ</v>
      </c>
      <c r="AF1" s="12" t="s">
        <v>63</v>
      </c>
      <c r="AG1" s="12" t="s">
        <v>107</v>
      </c>
      <c r="AH1" s="12" t="s">
        <v>108</v>
      </c>
      <c r="AI1" s="12" t="s">
        <v>109</v>
      </c>
      <c r="AJ1" s="12" t="s">
        <v>163</v>
      </c>
      <c r="AK1" s="12" t="s">
        <v>110</v>
      </c>
      <c r="AL1" s="12" t="s">
        <v>111</v>
      </c>
      <c r="AN1" s="12" t="s">
        <v>98</v>
      </c>
      <c r="AP1" s="12" t="s">
        <v>38</v>
      </c>
      <c r="AR1" s="12" t="s">
        <v>165</v>
      </c>
    </row>
    <row r="2" spans="1:44" x14ac:dyDescent="0.3">
      <c r="A2" s="1" t="s">
        <v>112</v>
      </c>
      <c r="C2" s="13" t="s">
        <v>99</v>
      </c>
      <c r="D2" s="13" t="s">
        <v>100</v>
      </c>
      <c r="E2" s="13">
        <v>10.4</v>
      </c>
      <c r="F2" s="13">
        <v>125</v>
      </c>
      <c r="G2" s="13" t="s">
        <v>101</v>
      </c>
      <c r="H2" s="13" t="s">
        <v>102</v>
      </c>
      <c r="I2" s="13" t="s">
        <v>103</v>
      </c>
      <c r="J2" s="2"/>
      <c r="K2" s="2" t="s">
        <v>21</v>
      </c>
      <c r="L2" s="2"/>
      <c r="M2" s="2" t="s">
        <v>32</v>
      </c>
      <c r="N2" s="2"/>
      <c r="O2" s="2" t="s">
        <v>32</v>
      </c>
      <c r="Q2" s="1" t="s">
        <v>44</v>
      </c>
      <c r="S2" s="1" t="s">
        <v>104</v>
      </c>
      <c r="U2" s="1" t="s">
        <v>105</v>
      </c>
      <c r="W2" s="1" t="b">
        <v>1</v>
      </c>
      <c r="Y2" s="1" t="b">
        <v>1</v>
      </c>
      <c r="AA2" s="1" t="s">
        <v>106</v>
      </c>
      <c r="AC2" s="1" t="s">
        <v>63</v>
      </c>
      <c r="AD2" s="1" cm="1">
        <f t="array" aca="1" ref="AD2" ca="1">INDIRECT($AD$1&amp;2)</f>
        <v>3</v>
      </c>
      <c r="AE2" s="14"/>
      <c r="AF2" s="1">
        <v>1.7</v>
      </c>
      <c r="AG2" s="1">
        <v>1</v>
      </c>
      <c r="AH2" s="1">
        <v>0.9</v>
      </c>
      <c r="AI2" s="1">
        <v>2</v>
      </c>
      <c r="AJ2" s="1">
        <v>3</v>
      </c>
      <c r="AK2" s="1">
        <v>0.9</v>
      </c>
      <c r="AL2" s="1">
        <v>4</v>
      </c>
      <c r="AN2" s="1">
        <v>0.8</v>
      </c>
      <c r="AP2" s="1" t="s">
        <v>72</v>
      </c>
      <c r="AR2" s="1" t="s">
        <v>32</v>
      </c>
    </row>
    <row r="3" spans="1:44" x14ac:dyDescent="0.3">
      <c r="A3" s="1" t="s">
        <v>166</v>
      </c>
      <c r="C3" s="13" t="s">
        <v>113</v>
      </c>
      <c r="D3" s="13" t="s">
        <v>100</v>
      </c>
      <c r="E3" s="13">
        <v>10.4</v>
      </c>
      <c r="F3" s="2">
        <v>125</v>
      </c>
      <c r="G3" s="13" t="s">
        <v>101</v>
      </c>
      <c r="H3" s="13" t="s">
        <v>102</v>
      </c>
      <c r="I3" s="13" t="s">
        <v>103</v>
      </c>
      <c r="J3" s="2"/>
      <c r="K3" s="2" t="s">
        <v>114</v>
      </c>
      <c r="L3" s="2"/>
      <c r="M3" s="2" t="s">
        <v>45</v>
      </c>
      <c r="N3" s="2"/>
      <c r="O3" s="2" t="s">
        <v>45</v>
      </c>
      <c r="Q3" s="1" t="s">
        <v>115</v>
      </c>
      <c r="S3" s="1" t="s">
        <v>45</v>
      </c>
      <c r="U3" s="1" t="s">
        <v>47</v>
      </c>
      <c r="AA3" s="1" t="s">
        <v>116</v>
      </c>
      <c r="AC3" s="1" t="s">
        <v>107</v>
      </c>
      <c r="AD3" s="1" cm="1">
        <f t="array" aca="1" ref="AD3" ca="1">IF(ISNUMBER(INDIRECT($AD$1&amp;3)),INDIRECT($AD$1&amp;3),"")</f>
        <v>4</v>
      </c>
      <c r="AF3" s="1">
        <v>2</v>
      </c>
      <c r="AG3" s="1">
        <v>3</v>
      </c>
      <c r="AJ3" s="1">
        <v>4</v>
      </c>
      <c r="AL3" s="1">
        <v>6.2</v>
      </c>
      <c r="AN3" s="1">
        <v>1</v>
      </c>
      <c r="AP3" s="1" t="s">
        <v>117</v>
      </c>
      <c r="AR3" s="1" t="s">
        <v>45</v>
      </c>
    </row>
    <row r="4" spans="1:44" x14ac:dyDescent="0.3">
      <c r="A4" s="1" t="s">
        <v>118</v>
      </c>
      <c r="C4" s="13" t="s">
        <v>20</v>
      </c>
      <c r="D4" s="13" t="s">
        <v>100</v>
      </c>
      <c r="E4" s="13" t="s">
        <v>119</v>
      </c>
      <c r="F4" s="13" t="s">
        <v>120</v>
      </c>
      <c r="G4" s="13" t="s">
        <v>121</v>
      </c>
      <c r="H4" s="13" t="s">
        <v>122</v>
      </c>
      <c r="I4" s="13" t="s">
        <v>31</v>
      </c>
      <c r="J4" s="2"/>
      <c r="K4" s="2"/>
      <c r="L4" s="2"/>
      <c r="M4" s="2"/>
      <c r="N4" s="2"/>
      <c r="O4" s="2"/>
      <c r="S4" s="1" t="s">
        <v>123</v>
      </c>
      <c r="U4" s="1" t="s">
        <v>124</v>
      </c>
      <c r="AA4" s="1" t="s">
        <v>125</v>
      </c>
      <c r="AC4" s="1" t="s">
        <v>108</v>
      </c>
      <c r="AD4" s="1" cm="1">
        <f t="array" aca="1" ref="AD4" ca="1">IF(ISNUMBER(INDIRECT($AD$1&amp;4)),INDIRECT($AD$1&amp;4),"")</f>
        <v>6.2</v>
      </c>
      <c r="AF4" s="1">
        <v>3</v>
      </c>
      <c r="AG4" s="1">
        <v>4</v>
      </c>
      <c r="AJ4" s="1">
        <v>6.2</v>
      </c>
      <c r="AN4" s="1">
        <v>1.2</v>
      </c>
    </row>
    <row r="5" spans="1:44" x14ac:dyDescent="0.3">
      <c r="A5" s="1" t="s">
        <v>126</v>
      </c>
      <c r="C5" s="13" t="s">
        <v>127</v>
      </c>
      <c r="D5" s="13" t="s">
        <v>128</v>
      </c>
      <c r="E5" s="13" t="s">
        <v>129</v>
      </c>
      <c r="F5" s="13" t="s">
        <v>130</v>
      </c>
      <c r="G5" s="13" t="s">
        <v>121</v>
      </c>
      <c r="H5" s="13" t="s">
        <v>131</v>
      </c>
      <c r="I5" s="13" t="s">
        <v>31</v>
      </c>
      <c r="J5" s="2"/>
      <c r="K5" s="2"/>
      <c r="L5" s="2"/>
      <c r="M5" s="2"/>
      <c r="N5" s="2"/>
      <c r="O5" s="2"/>
      <c r="S5" s="1" t="s">
        <v>132</v>
      </c>
      <c r="U5" s="1" t="s">
        <v>45</v>
      </c>
      <c r="AA5" s="1" t="s">
        <v>133</v>
      </c>
      <c r="AC5" s="1" t="s">
        <v>109</v>
      </c>
      <c r="AD5" s="1" t="str" cm="1">
        <f t="array" aca="1" ref="AD5" ca="1">IF(ISNUMBER(INDIRECT($AD$1&amp;5)),INDIRECT($AD$1&amp;5),"")</f>
        <v/>
      </c>
      <c r="AN5" s="1">
        <v>1.5</v>
      </c>
    </row>
    <row r="6" spans="1:44" x14ac:dyDescent="0.3">
      <c r="A6" s="1" t="s">
        <v>134</v>
      </c>
      <c r="C6" s="13" t="s">
        <v>135</v>
      </c>
      <c r="D6" s="13" t="s">
        <v>136</v>
      </c>
      <c r="E6" s="13" t="s">
        <v>137</v>
      </c>
      <c r="F6" s="13" t="s">
        <v>120</v>
      </c>
      <c r="G6" s="13" t="s">
        <v>121</v>
      </c>
      <c r="H6" s="13" t="s">
        <v>131</v>
      </c>
      <c r="I6" s="13" t="s">
        <v>31</v>
      </c>
      <c r="J6" s="2"/>
      <c r="K6" s="2"/>
      <c r="L6" s="2"/>
      <c r="M6" s="2"/>
      <c r="N6" s="2"/>
      <c r="O6" s="2"/>
      <c r="U6" s="1" t="s">
        <v>132</v>
      </c>
      <c r="AA6" s="1" t="s">
        <v>138</v>
      </c>
      <c r="AC6" s="1" t="s">
        <v>163</v>
      </c>
      <c r="AD6" s="1" t="str" cm="1">
        <f t="array" aca="1" ref="AD6" ca="1">IF(ISNUMBER(INDIRECT($AD$1&amp;6)),INDIRECT($AD$1&amp;6),"")</f>
        <v/>
      </c>
      <c r="AN6" s="1">
        <v>1.8</v>
      </c>
    </row>
    <row r="7" spans="1:44" x14ac:dyDescent="0.3">
      <c r="A7" s="1" t="s">
        <v>139</v>
      </c>
      <c r="C7" s="13" t="s">
        <v>140</v>
      </c>
      <c r="D7" s="13" t="s">
        <v>128</v>
      </c>
      <c r="E7" s="13" t="s">
        <v>141</v>
      </c>
      <c r="F7" s="13" t="s">
        <v>120</v>
      </c>
      <c r="G7" s="13" t="s">
        <v>101</v>
      </c>
      <c r="H7" s="13" t="s">
        <v>131</v>
      </c>
      <c r="I7" s="13" t="s">
        <v>31</v>
      </c>
      <c r="J7" s="2"/>
      <c r="K7" s="2"/>
      <c r="L7" s="2"/>
      <c r="M7" s="2"/>
      <c r="N7" s="2"/>
      <c r="O7" s="2"/>
      <c r="AA7" s="1" t="s">
        <v>142</v>
      </c>
      <c r="AC7" s="1" t="s">
        <v>110</v>
      </c>
      <c r="AD7" s="1" t="str" cm="1">
        <f t="array" aca="1" ref="AD7" ca="1">IF(ISNUMBER(INDIRECT($AD$1&amp;7)),INDIRECT($AD$1&amp;7),"")</f>
        <v/>
      </c>
      <c r="AN7" s="1">
        <v>2</v>
      </c>
    </row>
    <row r="8" spans="1:44" x14ac:dyDescent="0.3">
      <c r="A8" s="1" t="s">
        <v>143</v>
      </c>
      <c r="C8" s="108" t="s">
        <v>144</v>
      </c>
      <c r="D8" s="108" t="s">
        <v>128</v>
      </c>
      <c r="E8" s="108" t="s">
        <v>141</v>
      </c>
      <c r="F8" s="108" t="s">
        <v>120</v>
      </c>
      <c r="G8" s="108" t="s">
        <v>121</v>
      </c>
      <c r="H8" s="108" t="s">
        <v>131</v>
      </c>
      <c r="I8" s="108" t="s">
        <v>31</v>
      </c>
      <c r="J8" s="2"/>
      <c r="K8" s="2"/>
      <c r="L8" s="2"/>
      <c r="M8" s="2"/>
      <c r="N8" s="2"/>
      <c r="O8" s="2"/>
      <c r="AA8" s="1" t="s">
        <v>145</v>
      </c>
      <c r="AD8" s="1" t="str" cm="1">
        <f t="array" aca="1" ref="AD8" ca="1">IF(ISNUMBER(INDIRECT($AD$1&amp;8)),INDIRECT($AD$1&amp;8),"")</f>
        <v/>
      </c>
      <c r="AN8" s="1">
        <v>3</v>
      </c>
    </row>
    <row r="9" spans="1:44" x14ac:dyDescent="0.3">
      <c r="A9" s="1" t="s">
        <v>146</v>
      </c>
      <c r="C9" s="13" t="s">
        <v>147</v>
      </c>
      <c r="D9" s="108" t="s">
        <v>128</v>
      </c>
      <c r="E9" s="2" t="s">
        <v>148</v>
      </c>
      <c r="F9" s="2">
        <v>125</v>
      </c>
      <c r="G9" s="108" t="s">
        <v>121</v>
      </c>
      <c r="H9" s="108" t="s">
        <v>131</v>
      </c>
      <c r="I9" s="108" t="s">
        <v>31</v>
      </c>
      <c r="J9" s="2"/>
      <c r="K9" s="2"/>
      <c r="L9" s="2"/>
      <c r="M9" s="2"/>
      <c r="N9" s="2"/>
      <c r="O9" s="2"/>
    </row>
    <row r="10" spans="1:44" x14ac:dyDescent="0.3">
      <c r="A10" s="1" t="s">
        <v>167</v>
      </c>
      <c r="C10" s="13" t="s">
        <v>149</v>
      </c>
      <c r="D10" s="13" t="s">
        <v>150</v>
      </c>
      <c r="E10" s="13" t="s">
        <v>151</v>
      </c>
      <c r="F10" s="13" t="s">
        <v>120</v>
      </c>
      <c r="G10" s="13" t="s">
        <v>121</v>
      </c>
      <c r="H10" s="13" t="s">
        <v>152</v>
      </c>
      <c r="I10" s="13" t="s">
        <v>31</v>
      </c>
      <c r="J10" s="2"/>
      <c r="K10" s="2"/>
      <c r="L10" s="2"/>
      <c r="M10" s="2"/>
      <c r="N10" s="2"/>
      <c r="O10" s="2"/>
    </row>
    <row r="11" spans="1:44" x14ac:dyDescent="0.3">
      <c r="C11" s="13" t="s">
        <v>153</v>
      </c>
      <c r="D11" s="13" t="s">
        <v>128</v>
      </c>
      <c r="E11" s="13" t="s">
        <v>154</v>
      </c>
      <c r="F11" s="13" t="s">
        <v>120</v>
      </c>
      <c r="G11" s="13" t="s">
        <v>101</v>
      </c>
      <c r="H11" s="13" t="s">
        <v>155</v>
      </c>
      <c r="I11" s="13" t="s">
        <v>31</v>
      </c>
      <c r="J11" s="2"/>
      <c r="K11" s="2"/>
      <c r="L11" s="2"/>
      <c r="M11" s="2"/>
      <c r="N11" s="2"/>
      <c r="O11" s="2"/>
    </row>
    <row r="12" spans="1:44" x14ac:dyDescent="0.3">
      <c r="C12" s="13" t="s">
        <v>156</v>
      </c>
      <c r="D12" s="13" t="s">
        <v>100</v>
      </c>
      <c r="E12" s="13" t="s">
        <v>31</v>
      </c>
      <c r="F12" s="13" t="s">
        <v>120</v>
      </c>
      <c r="G12" s="13" t="s">
        <v>156</v>
      </c>
      <c r="H12" s="13" t="s">
        <v>122</v>
      </c>
      <c r="I12" s="13" t="s">
        <v>31</v>
      </c>
      <c r="J12" s="2"/>
      <c r="K12" s="2"/>
      <c r="L12" s="2"/>
      <c r="M12" s="2"/>
      <c r="N12" s="2"/>
      <c r="O12" s="2"/>
      <c r="AC12" s="14">
        <f>'Sensor Specification'!F18</f>
        <v>0</v>
      </c>
    </row>
    <row r="13" spans="1:44" x14ac:dyDescent="0.3">
      <c r="C13" s="13" t="s">
        <v>157</v>
      </c>
      <c r="D13" s="13" t="s">
        <v>100</v>
      </c>
      <c r="E13" s="13" t="s">
        <v>31</v>
      </c>
      <c r="F13" s="13" t="s">
        <v>31</v>
      </c>
      <c r="G13" s="13" t="s">
        <v>101</v>
      </c>
      <c r="H13" s="13" t="s">
        <v>31</v>
      </c>
      <c r="I13" s="13" t="s">
        <v>31</v>
      </c>
    </row>
    <row r="14" spans="1:44" x14ac:dyDescent="0.3">
      <c r="C14" s="13" t="s">
        <v>158</v>
      </c>
      <c r="D14" s="13" t="s">
        <v>100</v>
      </c>
      <c r="E14" s="13" t="s">
        <v>31</v>
      </c>
      <c r="F14" s="13" t="s">
        <v>31</v>
      </c>
      <c r="G14" s="108" t="s">
        <v>121</v>
      </c>
      <c r="H14" s="13" t="s">
        <v>31</v>
      </c>
      <c r="I14" s="13" t="s">
        <v>31</v>
      </c>
    </row>
    <row r="15" spans="1:44" x14ac:dyDescent="0.3">
      <c r="C15" s="13" t="s">
        <v>159</v>
      </c>
      <c r="D15" s="13" t="s">
        <v>128</v>
      </c>
      <c r="E15" s="13" t="s">
        <v>31</v>
      </c>
      <c r="F15" s="13" t="s">
        <v>31</v>
      </c>
      <c r="G15" s="108" t="s">
        <v>121</v>
      </c>
      <c r="H15" s="13" t="s">
        <v>31</v>
      </c>
      <c r="I15" s="13" t="s">
        <v>31</v>
      </c>
    </row>
    <row r="16" spans="1:44" x14ac:dyDescent="0.3">
      <c r="C16" s="13" t="s">
        <v>132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</row>
    <row r="17" spans="3:9" x14ac:dyDescent="0.3">
      <c r="C17" s="14"/>
      <c r="D17" s="14"/>
      <c r="E17" s="14"/>
      <c r="F17" s="14"/>
      <c r="G17" s="14"/>
      <c r="H17" s="14"/>
      <c r="I17" s="14"/>
    </row>
    <row r="18" spans="3:9" x14ac:dyDescent="0.3">
      <c r="C18" s="14"/>
      <c r="D18" s="14"/>
      <c r="E18" s="14"/>
      <c r="F18" s="14"/>
      <c r="G18" s="14"/>
      <c r="H18" s="14"/>
      <c r="I18" s="14"/>
    </row>
    <row r="19" spans="3:9" x14ac:dyDescent="0.3">
      <c r="C19" s="14"/>
      <c r="D19" s="14"/>
      <c r="E19" s="14"/>
      <c r="F19" s="14"/>
      <c r="G19" s="14"/>
      <c r="H19" s="14"/>
      <c r="I19" s="14"/>
    </row>
    <row r="20" spans="3:9" x14ac:dyDescent="0.3">
      <c r="C20" s="14"/>
      <c r="D20" s="14"/>
      <c r="E20" s="14"/>
      <c r="F20" s="14"/>
      <c r="G20" s="14"/>
      <c r="H20" s="14"/>
      <c r="I20" s="14"/>
    </row>
    <row r="21" spans="3:9" x14ac:dyDescent="0.3">
      <c r="C21" s="14"/>
      <c r="D21" s="14"/>
      <c r="E21" s="14"/>
      <c r="F21" s="14"/>
      <c r="G21" s="14"/>
      <c r="H21" s="14"/>
      <c r="I21" s="14"/>
    </row>
    <row r="22" spans="3:9" x14ac:dyDescent="0.3">
      <c r="C22" s="14"/>
      <c r="D22" s="14"/>
      <c r="E22" s="14"/>
      <c r="F22" s="14"/>
      <c r="G22" s="14"/>
      <c r="H22" s="14"/>
      <c r="I22" s="14"/>
    </row>
    <row r="23" spans="3:9" x14ac:dyDescent="0.3">
      <c r="C23" s="14"/>
      <c r="D23" s="14"/>
      <c r="E23" s="14"/>
      <c r="F23" s="14"/>
      <c r="G23" s="14"/>
      <c r="H23" s="14"/>
      <c r="I23" s="14"/>
    </row>
    <row r="24" spans="3:9" x14ac:dyDescent="0.3">
      <c r="C24" s="14"/>
      <c r="D24" s="14"/>
      <c r="E24" s="14"/>
      <c r="F24" s="14"/>
      <c r="G24" s="14"/>
      <c r="H24" s="14"/>
      <c r="I24" s="14"/>
    </row>
    <row r="25" spans="3:9" x14ac:dyDescent="0.3">
      <c r="C25" s="14"/>
      <c r="D25" s="14"/>
      <c r="E25" s="14"/>
      <c r="F25" s="14"/>
      <c r="G25" s="14"/>
      <c r="H25" s="14"/>
      <c r="I25" s="14"/>
    </row>
    <row r="26" spans="3:9" x14ac:dyDescent="0.3">
      <c r="C26" s="14"/>
      <c r="D26" s="14"/>
      <c r="E26" s="14"/>
      <c r="F26" s="14"/>
      <c r="G26" s="14"/>
      <c r="H26" s="14"/>
      <c r="I26" s="14"/>
    </row>
    <row r="27" spans="3:9" x14ac:dyDescent="0.3">
      <c r="C27" s="14"/>
      <c r="D27" s="14"/>
      <c r="E27" s="14"/>
      <c r="F27" s="14"/>
      <c r="G27" s="14"/>
      <c r="H27" s="14"/>
      <c r="I27" s="14"/>
    </row>
    <row r="28" spans="3:9" x14ac:dyDescent="0.3">
      <c r="C28" s="14"/>
      <c r="D28" s="14"/>
      <c r="E28" s="14"/>
      <c r="F28" s="14"/>
      <c r="G28" s="14"/>
      <c r="H28" s="14"/>
      <c r="I28" s="14"/>
    </row>
    <row r="29" spans="3:9" x14ac:dyDescent="0.3">
      <c r="C29" s="14"/>
      <c r="D29" s="14"/>
      <c r="E29" s="14"/>
      <c r="F29" s="14"/>
      <c r="G29" s="14"/>
      <c r="H29" s="14"/>
      <c r="I29" s="14"/>
    </row>
    <row r="30" spans="3:9" x14ac:dyDescent="0.3">
      <c r="C30" s="14"/>
      <c r="D30" s="14"/>
      <c r="E30" s="14"/>
      <c r="F30" s="14"/>
      <c r="G30" s="14"/>
      <c r="H30" s="14"/>
      <c r="I30" s="14"/>
    </row>
    <row r="31" spans="3:9" x14ac:dyDescent="0.3">
      <c r="C31" s="14"/>
      <c r="D31" s="14"/>
      <c r="E31" s="14"/>
      <c r="F31" s="14"/>
      <c r="G31" s="14"/>
      <c r="H31" s="14"/>
      <c r="I31" s="1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FCF9-E2FD-4DFB-AF63-6CCD0D65719C}">
  <sheetPr codeName="Tabelle10"/>
  <dimension ref="A1:E7"/>
  <sheetViews>
    <sheetView workbookViewId="0">
      <selection activeCell="P4" sqref="P4"/>
    </sheetView>
  </sheetViews>
  <sheetFormatPr defaultColWidth="11.44140625" defaultRowHeight="15.05" x14ac:dyDescent="0.3"/>
  <cols>
    <col min="1" max="1" width="21.33203125" bestFit="1" customWidth="1"/>
    <col min="2" max="2" width="98.88671875" customWidth="1"/>
  </cols>
  <sheetData>
    <row r="1" spans="1:5" x14ac:dyDescent="0.3">
      <c r="B1">
        <f>IF('Sensor Specification'!A18=Drawings!A3,3,IF('Sensor Specification'!A18=Drawings!A4,4,IF('Sensor Specification'!A18=Drawings!A5,5,IF('Sensor Specification'!A18=Drawings!A6,6,7))))</f>
        <v>5</v>
      </c>
    </row>
    <row r="2" spans="1:5" ht="15.75" customHeight="1" x14ac:dyDescent="0.3"/>
    <row r="3" spans="1:5" ht="108" customHeight="1" x14ac:dyDescent="0.3">
      <c r="A3" t="s">
        <v>160</v>
      </c>
      <c r="B3" s="15"/>
      <c r="E3" s="16"/>
    </row>
    <row r="4" spans="1:5" ht="108" customHeight="1" x14ac:dyDescent="0.3">
      <c r="A4" t="s">
        <v>62</v>
      </c>
      <c r="B4" s="15"/>
    </row>
    <row r="5" spans="1:5" ht="108" customHeight="1" x14ac:dyDescent="0.3">
      <c r="A5" t="s">
        <v>161</v>
      </c>
      <c r="B5" s="15"/>
    </row>
    <row r="6" spans="1:5" ht="108" customHeight="1" x14ac:dyDescent="0.3">
      <c r="A6" t="s">
        <v>162</v>
      </c>
      <c r="B6" s="15"/>
    </row>
    <row r="7" spans="1:5" ht="108" customHeight="1" x14ac:dyDescent="0.3">
      <c r="B7" s="15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25a77-1a5a-459a-af69-63fbe94a752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927F95484E9488072C5135C936E1D" ma:contentTypeVersion="10" ma:contentTypeDescription="Create a new document." ma:contentTypeScope="" ma:versionID="6dec41797a4877caedee105a198bd0dc">
  <xsd:schema xmlns:xsd="http://www.w3.org/2001/XMLSchema" xmlns:xs="http://www.w3.org/2001/XMLSchema" xmlns:p="http://schemas.microsoft.com/office/2006/metadata/properties" xmlns:ns2="d0b25a77-1a5a-459a-af69-63fbe94a7524" targetNamespace="http://schemas.microsoft.com/office/2006/metadata/properties" ma:root="true" ma:fieldsID="7c239f5e11502f87671e5a5265a14118" ns2:_="">
    <xsd:import namespace="d0b25a77-1a5a-459a-af69-63fbe94a7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25a77-1a5a-459a-af69-63fbe94a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9d0624-a164-4ee2-857e-ad329fbb8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E1BB261-8742-4D63-892C-92E5726C71F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0b25a77-1a5a-459a-af69-63fbe94a752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0E0275-F6BD-4741-BE6A-A2989CD16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145A3-2578-4A28-BC9D-05B65B632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25a77-1a5a-459a-af69-63fbe94a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BD46CCE-C86B-464B-AA8C-986BD0224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Fiber Specification</vt:lpstr>
      <vt:lpstr>Sensor Specification</vt:lpstr>
      <vt:lpstr>Definitions</vt:lpstr>
      <vt:lpstr>Drawings</vt:lpstr>
    </vt:vector>
  </TitlesOfParts>
  <Manager/>
  <Company>Loptek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geuter</dc:creator>
  <cp:keywords/>
  <dc:description/>
  <cp:lastModifiedBy>Dr. Andrew Gillooly</cp:lastModifiedBy>
  <cp:revision/>
  <dcterms:created xsi:type="dcterms:W3CDTF">2018-12-19T10:37:11Z</dcterms:created>
  <dcterms:modified xsi:type="dcterms:W3CDTF">2026-01-20T07:02:14Z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0x010100F45927F95484E9488072C5135C936E1D</vt:lpwstr>
  </property>
  <property fmtid="{D5CDD505-2E9C-101B-9397-08002B2CF9AE}" pid="3" name="MediaServiceImageTags">
    <vt:lpwstr/>
  </property>
</Properties>
</file>